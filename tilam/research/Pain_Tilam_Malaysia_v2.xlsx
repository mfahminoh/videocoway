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yat Pain" sheetId="2" state="visible" r:id="rId4"/>
    <sheet name="Nota" sheetId="3" state="visible" r:id="rId5"/>
  </sheets>
  <definedNames>
    <definedName function="false" hidden="true" localSheetId="1" name="_xlnm._FilterDatabase" vbProcedure="false">'Ayat Pain'!$A$1:$H$170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<sst xmlns="http://schemas.openxmlformats.org/spreadsheetml/2006/main" count="1138" uniqueCount="437">
  <si>
    <t xml:space="preserve">Pain Mining: Tilam (Malaysia)</t>
  </si>
  <si>
    <t xml:space="preserve">Sumber: Threads, komen TikTok dan forum Lowyat. Semua angka dikira terus daripada tab 'Ayat Pain'.</t>
  </si>
  <si>
    <t xml:space="preserve">Jumlah ayat pain</t>
  </si>
  <si>
    <t xml:space="preserve">Threads</t>
  </si>
  <si>
    <t xml:space="preserve">TikTok</t>
  </si>
  <si>
    <t xml:space="preserve">Lowyat</t>
  </si>
  <si>
    <t xml:space="preserve">Sebut Coway</t>
  </si>
  <si>
    <t xml:space="preserve">Kategori pain</t>
  </si>
  <si>
    <t xml:space="preserve">Jumlah</t>
  </si>
  <si>
    <t xml:space="preserve">%</t>
  </si>
  <si>
    <t xml:space="preserve">Coway</t>
  </si>
  <si>
    <t xml:space="preserve">Contoh ayat paling kuat</t>
  </si>
  <si>
    <t xml:space="preserve">Harga / takut rugi</t>
  </si>
  <si>
    <t xml:space="preserve">Terkejutnya aku dengan harga tilam korang beli. HAHAHAH memang harga tilam sampai 2k-5k ke dooooo</t>
  </si>
  <si>
    <t xml:space="preserve">Terlalu lembut / keras</t>
  </si>
  <si>
    <t xml:space="preserve">sy dh beli tilam dreamland ni, mlm pertama tidur sakit betul badan mcm terlalu keras bagi sy</t>
  </si>
  <si>
    <t xml:space="preserve">Sakit belakang / badan</t>
  </si>
  <si>
    <t xml:space="preserve">tilam sy skrg punca sy sakit badan, boleh sy tahu suggestion mana yg ssuai? sbb tgh cari tilam, xdaya dh nk tahan badan n sakit blkg</t>
  </si>
  <si>
    <t xml:space="preserve">Maklumat produk kurang / keliru memilih</t>
  </si>
  <si>
    <t xml:space="preserve">Too many mattress in market dunno which one suppose to test/buy...</t>
  </si>
  <si>
    <t xml:space="preserve">Mendap / lekuk</t>
  </si>
  <si>
    <t xml:space="preserve">Takut nk beli yg below 500 sbb last time beli guna 4bulan dah melendut tau sakit belakang tidur😭</t>
  </si>
  <si>
    <t xml:space="preserve">Kotor / kebersihan</t>
  </si>
  <si>
    <t xml:space="preserve">anak saiya terkencing atas tilam while potty train, dah basuh tilam jadi begini pula . Dah pakai alas waterproof tapi mana silapnya, tetap bocor juga.</t>
  </si>
  <si>
    <t xml:space="preserve">Jurujual / harga tak telus</t>
  </si>
  <si>
    <t xml:space="preserve">Agent prnah wsap husband push amek tilam coway..bila tny brapa per bulan, brapa tahun. Hmm dah block je num agent tu 😅</t>
  </si>
  <si>
    <t xml:space="preserve">Kontrak / bayaran bulanan / servis</t>
  </si>
  <si>
    <t xml:space="preserve">X berbaloi utk amik monthly installment. Kalau u kira amik bayar lum sum lagi banyak jimat. Jgn terpedaya.</t>
  </si>
  <si>
    <t xml:space="preserve">Kualiti / ketahanan</t>
  </si>
  <si>
    <t xml:space="preserve">kalau pakai lama sikit spring dia terkeluaq sakit taw kena cucuk.</t>
  </si>
  <si>
    <t xml:space="preserve">Penghantaran / angkut / buang</t>
  </si>
  <si>
    <t xml:space="preserve">I can only consider mattress in the box due to having low ceiling and narrow staircase at my house.</t>
  </si>
  <si>
    <t xml:space="preserve">Tak percaya review / affiliate</t>
  </si>
  <si>
    <t xml:space="preserve">Honest feedback please, janganlah review tilam tu best just sebab nak letak link je 😔</t>
  </si>
  <si>
    <t xml:space="preserve">Waranti mengelirukan</t>
  </si>
  <si>
    <t xml:space="preserve">re-sellers claim 10 yr warranty means 1-to-1 replacement, but Getha themselves say they'll repair it (typically by putting in more foam)</t>
  </si>
  <si>
    <t xml:space="preserve">Menyesal / tak boleh pulang</t>
  </si>
  <si>
    <t xml:space="preserve">Dah cuba 3 jenis tilam, baru faham kenapa orang kata jangan kedekut bab tidur 🥲</t>
  </si>
  <si>
    <t xml:space="preserve">Panas / tak sejuk</t>
  </si>
  <si>
    <t xml:space="preserve">Sejuk tak sbb ada tilam yg bahang panas😭</t>
  </si>
  <si>
    <t xml:space="preserve">Gangguan pasangan</t>
  </si>
  <si>
    <t xml:space="preserve">Boleh suggest tak tilam yang sesuai untuk orang yang senang sakit belakang + katil tak bergoyang bila kita bergerak (ada toddler tidur sekali)?</t>
  </si>
  <si>
    <t xml:space="preserve">Pilihan / akses terhad</t>
  </si>
  <si>
    <t xml:space="preserve">Hard to find mattress shop here</t>
  </si>
  <si>
    <t xml:space="preserve">Apa maksudnya</t>
  </si>
  <si>
    <t xml:space="preserve">(Tafsiran Claude daripada data di atas, bukan petikan.)</t>
  </si>
  <si>
    <t xml:space="preserve">1. Orang tak percaya review lagi</t>
  </si>
  <si>
    <t xml:space="preserve">Threads penuh dengan 'review jujur please', 'jangan promote kat komen', 'affiliate main jauh2'. Pembeli dah muak dengan affiliate yang tak pernah guna. Kandungan yang menang ialah bukti jujur: pengguna sebenar, pakai lama (1–3 tahun), tunjuk kelemahan juga.</t>
  </si>
  <si>
    <t xml:space="preserve">2. 'Firm' vs 'keras' masih mengelirukan</t>
  </si>
  <si>
    <t xml:space="preserve">Kekal antara tema terbesar di ketiga-tiga platform. Ramai sakit badan malam pertama kerana tersalah pilih. Kandungan 'cara pilih kekerasan ikut posisi tidur &amp; berat badan' ada permintaan tinggi.</t>
  </si>
  <si>
    <t xml:space="preserve">3. Takut beli murah, takut beli mahal</t>
  </si>
  <si>
    <t xml:space="preserve">Pengalaman tilam murah melendut dalam 4 bulan buat orang takut beli bawah RM500, tapi RM2k–5k mengejutkan. Ruang tengah (nilai jangka panjang, kos per tahun) belum dijelaskan dengan baik.</t>
  </si>
  <si>
    <t xml:space="preserve">4. Masalah praktikal rumah Malaysia</t>
  </si>
  <si>
    <t xml:space="preserve">Anak kencing atas tilam, bilik panas tanpa aircond, tilam berat naik tangga/loteng, kos pos ke Sabah, cara buang tilam lama. Sudut iklan yang spesifik dan jarang digunakan jenama.</t>
  </si>
  <si>
    <t xml:space="preserve">5. Khusus Coway</t>
  </si>
  <si>
    <t xml:space="preserve">Bantahan utama bukan produk, tapi model sewa: '49x12x7=4,116', 'tak nak hutang', 'jgn terpedaya'. Kedua: harga bulanan tak dinyatakan terus, dan ejen dilihat terlalu push. Ketiga: kualiti servis (topper lambat tukar, servis jarang, segan orang masuk bilik). Yang positif banyak juga, terutama sakit belakang hilang dan senang cuci untuk keluarga beranak kecil.</t>
  </si>
  <si>
    <t xml:space="preserve">No</t>
  </si>
  <si>
    <t xml:space="preserve">Platform</t>
  </si>
  <si>
    <t xml:space="preserve">Jenis</t>
  </si>
  <si>
    <t xml:space="preserve">Tarikh</t>
  </si>
  <si>
    <t xml:space="preserve">Kategori</t>
  </si>
  <si>
    <t xml:space="preserve">Ayat (verbatim)</t>
  </si>
  <si>
    <t xml:space="preserve">Link sumber</t>
  </si>
  <si>
    <t xml:space="preserve">Post</t>
  </si>
  <si>
    <t xml:space="preserve">2025-05-31</t>
  </si>
  <si>
    <t xml:space="preserve">Ada survey brand Dreamland, Joey, Origin, Sonno tapi tuh la harga macam keras sikit 👉🏻👈🏻 🥹</t>
  </si>
  <si>
    <t xml:space="preserve">https://www.threads.com/@_eiryeenathasya/post/DKSjjXwhzFV</t>
  </si>
  <si>
    <t xml:space="preserve">2025-10-13</t>
  </si>
  <si>
    <t xml:space="preserve">Dah la mahal tilam, base tilam pun kena beli ikea jugak.</t>
  </si>
  <si>
    <t xml:space="preserve">https://www.threads.com/@farhanaaneesa/post/DPvelJTkodi</t>
  </si>
  <si>
    <t xml:space="preserve">2025-10-17</t>
  </si>
  <si>
    <t xml:space="preserve">https://www.threads.com/@frhnani.j/post/DP4KrJhgXy9</t>
  </si>
  <si>
    <t xml:space="preserve">2026-05-24</t>
  </si>
  <si>
    <t xml:space="preserve">One day nak save up beli Vono sebab memang suka sangat Vono tapi mahal so for now nak beli yang mampu milik dulu sambil simpan duit untuk Vono.</t>
  </si>
  <si>
    <t xml:space="preserve">https://www.threads.com/@syasyamazalan_/post/DYuSzWOkmME</t>
  </si>
  <si>
    <t xml:space="preserve">2026-08-14</t>
  </si>
  <si>
    <t xml:space="preserve">Siapa pakai tilam coway? Berbaloi tak?</t>
  </si>
  <si>
    <t xml:space="preserve">https://www.threads.com/@symimo_/post/DcANkLPD3Ys</t>
  </si>
  <si>
    <t xml:space="preserve">Ya</t>
  </si>
  <si>
    <t xml:space="preserve">2026-09-22</t>
  </si>
  <si>
    <t xml:space="preserve">Baloi tak beli tilam cuckoo / coway tu? Siapa dah beli?</t>
  </si>
  <si>
    <t xml:space="preserve">https://www.threads.com/@syamsul.izzat/post/Ddki4HVnxGQ</t>
  </si>
  <si>
    <t xml:space="preserve">Komen</t>
  </si>
  <si>
    <t xml:space="preserve">2025-06-20</t>
  </si>
  <si>
    <t xml:space="preserve">apa beza tilam premium dgn harga 4 ribu 5 ribu...harga di kedai perabot lagi murah..nak tnya comparison dia..brg apa coway pakai spec</t>
  </si>
  <si>
    <t xml:space="preserve">https://www.tiktok.com/@salam_coway/video/7516809339831684370</t>
  </si>
  <si>
    <t xml:space="preserve">2026-07-17</t>
  </si>
  <si>
    <t xml:space="preserve">mahalnya dh la sakit x blh nk bekerja harga tilam sngt mahal</t>
  </si>
  <si>
    <t xml:space="preserve">https://www.tiktok.com/@vonomalaysia/video/7534988212297682183</t>
  </si>
  <si>
    <t xml:space="preserve">2026-08-15</t>
  </si>
  <si>
    <t xml:space="preserve">bang just buat konten tilam apa kami bajet sikit tapi nak keselesaan</t>
  </si>
  <si>
    <t xml:space="preserve">https://www.tiktok.com/@kudean.zainalhome/video/7673444572055309576</t>
  </si>
  <si>
    <t xml:space="preserve">2026-08-18</t>
  </si>
  <si>
    <t xml:space="preserve">untuk low budget ada tk cadangan ?</t>
  </si>
  <si>
    <t xml:space="preserve">Post forum</t>
  </si>
  <si>
    <t xml:space="preserve">-</t>
  </si>
  <si>
    <t xml:space="preserve">looks like all mattress price gone up already..</t>
  </si>
  <si>
    <t xml:space="preserve">https://forum.lowyat.net/topic/843907/+440</t>
  </si>
  <si>
    <t xml:space="preserve">2020-01-22</t>
  </si>
  <si>
    <t xml:space="preserve">I know the budget isnt much but im hoping to get a decently value mattress for my tenants la at least..</t>
  </si>
  <si>
    <t xml:space="preserve">https://forum.lowyat.net/topic/843907/+6260</t>
  </si>
  <si>
    <t xml:space="preserve">2020-08</t>
  </si>
  <si>
    <t xml:space="preserve">for the established brands, queen size medium soft mattress range 1-1.5k is quite hard to fit in.</t>
  </si>
  <si>
    <t xml:space="preserve">https://forum.lowyat.net/topic/843907/+6487</t>
  </si>
  <si>
    <t xml:space="preserve">2020-09-15</t>
  </si>
  <si>
    <t xml:space="preserve">I tried it and it seems okay however I'm still worried to buy it.</t>
  </si>
  <si>
    <t xml:space="preserve">https://forum.lowyat.net/topic/843907/+6520</t>
  </si>
  <si>
    <t xml:space="preserve">2022-01-02</t>
  </si>
  <si>
    <t xml:space="preserve">anyone knows where to get cheaper Serta and Sealy mattress?</t>
  </si>
  <si>
    <t xml:space="preserve">https://forum.lowyat.net/topic/843907/+6960</t>
  </si>
  <si>
    <t xml:space="preserve">2023-07-19</t>
  </si>
  <si>
    <t xml:space="preserve">Will be a big investment for me, so trying to get the best value and comfort in the long-run.</t>
  </si>
  <si>
    <t xml:space="preserve">https://forum.lowyat.net/topic/843907/+7487</t>
  </si>
  <si>
    <t xml:space="preserve">2025-10-12</t>
  </si>
  <si>
    <t xml:space="preserve">I didn't go for full latex mattress because of price and weight of the mattress.</t>
  </si>
  <si>
    <t xml:space="preserve">https://forum.lowyat.net/topic/843907/+7980</t>
  </si>
  <si>
    <t xml:space="preserve">2025-10-27</t>
  </si>
  <si>
    <t xml:space="preserve">What would be a good economical choice queen mattress for rental property?</t>
  </si>
  <si>
    <t xml:space="preserve">https://forum.lowyat.net/topic/843907/+8000</t>
  </si>
  <si>
    <t xml:space="preserve">2025-11-03</t>
  </si>
  <si>
    <t xml:space="preserve">And is there really significant differences in quality between price bracket of 3-5k mattress vs 8-10k mattress?</t>
  </si>
  <si>
    <t xml:space="preserve">2025-09-27</t>
  </si>
  <si>
    <t xml:space="preserve">I tgh nk survey tilam yang support belakang, tk keras sngt</t>
  </si>
  <si>
    <t xml:space="preserve">https://www.threads.com/@nyaklisa/post/DPFZrHzklHq</t>
  </si>
  <si>
    <t xml:space="preserve">2026-06-04</t>
  </si>
  <si>
    <t xml:space="preserve">Mana nak cari tilam yang tak keras sangat dan tak lembut sangat? Saya ada scoliosis</t>
  </si>
  <si>
    <t xml:space="preserve">https://www.threads.com/@lillyaamzn/post/DZKfor-GNUw</t>
  </si>
  <si>
    <t xml:space="preserve">2026-03-02</t>
  </si>
  <si>
    <t xml:space="preserve">dah sampai,tapi kenapa sakit badan ekk. macam keras la</t>
  </si>
  <si>
    <t xml:space="preserve">https://www.tiktok.com/@_syaifulaiman/video/7599517592411360520</t>
  </si>
  <si>
    <t xml:space="preserve">2026-03-03</t>
  </si>
  <si>
    <t xml:space="preserve">mana paling keras mana satu yg bagus soft n firm apa beza</t>
  </si>
  <si>
    <t xml:space="preserve">2026-04-22</t>
  </si>
  <si>
    <t xml:space="preserve">prime two series ni tilam dia lembut ke keras ya ? sbb sy xnk tilam lembut sgt .</t>
  </si>
  <si>
    <t xml:space="preserve">2026-05-01</t>
  </si>
  <si>
    <t xml:space="preserve">https://www.tiktok.com/@myeidris/video/7297156857053908232</t>
  </si>
  <si>
    <t xml:space="preserve">sy suka tidur mengiring.bangun pg badan selalu sakit sbb tilam keras.</t>
  </si>
  <si>
    <t xml:space="preserve">https://www.tiktok.com/@vonomalaysia/video/7527122276873981185</t>
  </si>
  <si>
    <t xml:space="preserve">2026-09-25</t>
  </si>
  <si>
    <t xml:space="preserve">tilam lembut sakit pinggang, keras better</t>
  </si>
  <si>
    <t xml:space="preserve">https://www.tiktok.com/@me_alisya/video/7594685728978701576</t>
  </si>
  <si>
    <t xml:space="preserve">2020-01-11</t>
  </si>
  <si>
    <t xml:space="preserve">a little bit on the soft side but it's comfy as it has 2 inch latex at the top but not sure if it's good for the spine</t>
  </si>
  <si>
    <t xml:space="preserve">2020-02-02</t>
  </si>
  <si>
    <t xml:space="preserve">I did. I guess everyone's definition of firm/hard is different.</t>
  </si>
  <si>
    <t xml:space="preserve">Now Aerofoam Jade when I sit on it it sinks - isn't that soft...?</t>
  </si>
  <si>
    <t xml:space="preserve">2020-09-18</t>
  </si>
  <si>
    <t xml:space="preserve">Anyone can suggest a good mattress that is firm and soft at the same time</t>
  </si>
  <si>
    <t xml:space="preserve">2021-12-16</t>
  </si>
  <si>
    <t xml:space="preserve">are those nice hotel mattress suitable for home use? could it be too soft/comfy good for a few days sleep. but for long term might not provide enough support.</t>
  </si>
  <si>
    <t xml:space="preserve">2021-12-31</t>
  </si>
  <si>
    <t xml:space="preserve">Wish to have firm mattress (not hard) without sacrificing much on the comfort.</t>
  </si>
  <si>
    <t xml:space="preserve">2022-01-01</t>
  </si>
  <si>
    <t xml:space="preserve">VONO AVERY is just nice but somehow feel lack of something. KINGKOIL HOSPITALITY is very firm, erm not preferable.</t>
  </si>
  <si>
    <t xml:space="preserve">2023-07-22</t>
  </si>
  <si>
    <t xml:space="preserve">i do not prefer soft one, hard to bangun. even sofa pun tak boleh soft ones.</t>
  </si>
  <si>
    <t xml:space="preserve">2025-09-04</t>
  </si>
  <si>
    <t xml:space="preserve">What i need is soft but not that soft until got drowning feeling or saggy feeling and i like high thick mattress too and if it has cooling feature</t>
  </si>
  <si>
    <t xml:space="preserve">I have used king koil for almost 10 years, overall didnt really like it, feels abit hard</t>
  </si>
  <si>
    <t xml:space="preserve">I think it is best to try them out before buying because I also tried their Rio series back then which cost more but was kinda too soft for my liking.</t>
  </si>
  <si>
    <t xml:space="preserve">2025-02-25</t>
  </si>
  <si>
    <t xml:space="preserve">Sakit belakang. Working long hour. Selalu travel. Bila habis outstation. Rasa barai gila. Susah nak tidur sbb tilam tak selesa.</t>
  </si>
  <si>
    <t xml:space="preserve">https://www.threads.com/@nizamtalks/post/DGgGCefPRZT</t>
  </si>
  <si>
    <t xml:space="preserve">2026-06-09</t>
  </si>
  <si>
    <t xml:space="preserve">Wei tilam coway ni mmg buat sakit tulang belkng ke kalau tido . Ahh stresss</t>
  </si>
  <si>
    <t xml:space="preserve">https://www.threads.com/@milieeeeeyy/post/DZWGrv0kyUP</t>
  </si>
  <si>
    <t xml:space="preserve">Balasan</t>
  </si>
  <si>
    <t xml:space="preserve">Tapi btol weh sakit pinggang tauu ..i dengan husb pun sama ..</t>
  </si>
  <si>
    <t xml:space="preserve">https://www.threads.com/@miramazlan___/post/DZW368IEsC-</t>
  </si>
  <si>
    <t xml:space="preserve">2026-09-07</t>
  </si>
  <si>
    <t xml:space="preserve">Korang...tolong spill brand tilam untuk sakit belakang. Harga mampu milik , tahan lama. Bila umur dh nk masuk 40 an ni , sakit belakang dah mula singgah.</t>
  </si>
  <si>
    <t xml:space="preserve">https://www.threads.com/@me_kinna/post/Dc96YB1kuwL</t>
  </si>
  <si>
    <t xml:space="preserve">2024-09-29</t>
  </si>
  <si>
    <t xml:space="preserve">Boleh doctor suggest tilam yang sesuai utk warga emas yang ada sakit tulang belakang? Saya nak carikan untuk ibu saya</t>
  </si>
  <si>
    <t xml:space="preserve">https://www.tiktok.com/@drzahir.ortho/video/7359054445277203730</t>
  </si>
  <si>
    <t xml:space="preserve">2025-06-21</t>
  </si>
  <si>
    <t xml:space="preserve">tp bila tido atas tilam ni rasa sakit pulak badan..</t>
  </si>
  <si>
    <t xml:space="preserve">2025-12-29</t>
  </si>
  <si>
    <t xml:space="preserve">2026-03-11</t>
  </si>
  <si>
    <t xml:space="preserve">Sy dari Kota Kinabalu mencari tilam warga emas, ibu sy sakit blkg dan pinggang mohon bagi info</t>
  </si>
  <si>
    <t xml:space="preserve">2026-04-26</t>
  </si>
  <si>
    <t xml:space="preserve">macam tau tau je tgh cari tilam baru, yg lama dh nipis sakit blkg 😭</t>
  </si>
  <si>
    <t xml:space="preserve">https://www.tiktok.com/@fiqahar/video/7632990429172092181</t>
  </si>
  <si>
    <t xml:space="preserve">2026-07-14</t>
  </si>
  <si>
    <t xml:space="preserve">sy pagi2 sakit pinggan.. doctor sarankan pakai tilam latex.. cari yg original.. waranty brp tahun tilam ni</t>
  </si>
  <si>
    <t xml:space="preserve">https://www.tiktok.com/@ajmal_legacy/video/7647945200601468168</t>
  </si>
  <si>
    <t xml:space="preserve">2026-08-01</t>
  </si>
  <si>
    <t xml:space="preserve">side sleeper dan selalu rasa lenguh badan selepas bangun tidur</t>
  </si>
  <si>
    <t xml:space="preserve">2026-08-25</t>
  </si>
  <si>
    <t xml:space="preserve">abang blh x review tilam lipat pulak penat dh cri yg okay semua sakit badan😌</t>
  </si>
  <si>
    <t xml:space="preserve">https://www.tiktok.com/@te4hhh._/video/7677509010823646485</t>
  </si>
  <si>
    <t xml:space="preserve">2020-01-30</t>
  </si>
  <si>
    <t xml:space="preserve">we just got the serta mattress and it was fine until my wife wake up recently and felt painful at the back.</t>
  </si>
  <si>
    <t xml:space="preserve">2020-02-01</t>
  </si>
  <si>
    <t xml:space="preserve">After less than 1 month, i started having back issues.</t>
  </si>
  <si>
    <t xml:space="preserve">Im a big guy, 330lbs, 5'11, constant back pain from an old injury, need a new mattress ASAP.</t>
  </si>
  <si>
    <t xml:space="preserve">i usually have back pain, so want to try something that gives proper support</t>
  </si>
  <si>
    <t xml:space="preserve">Ageing already and don't want to have backpain.</t>
  </si>
  <si>
    <t xml:space="preserve">Hi can suggest me good mattress that best support my lumbar back problem?</t>
  </si>
  <si>
    <t xml:space="preserve">2025-07-15</t>
  </si>
  <si>
    <t xml:space="preserve">Boleh tak share tilam yang bagus tak tengelam bila tidur? Brand apa dan harga berapa perlu kita invest untuk beli tilam?</t>
  </si>
  <si>
    <t xml:space="preserve">https://www.threads.com/@razip_zainijasri/post/DMHPrSKRgVd</t>
  </si>
  <si>
    <t xml:space="preserve">2026-01-20</t>
  </si>
  <si>
    <t xml:space="preserve">Ramai kata kalau beli topper tapi still sama jugak.</t>
  </si>
  <si>
    <t xml:space="preserve">https://www.threads.com/@ainaajemal_/post/DTu-bKyCbSI</t>
  </si>
  <si>
    <t xml:space="preserve">Saranan saya jangan la beli online,sis wajib pegi kedai jual tilam sebab tilam ni bermacam jenis,kene try dulu mana yang sesuai dengan body posture</t>
  </si>
  <si>
    <t xml:space="preserve">https://www.threads.com/@wanemirul13/post/DTuluUwkgxv</t>
  </si>
  <si>
    <t xml:space="preserve">2026-05-09</t>
  </si>
  <si>
    <t xml:space="preserve">Antara spinarez dan dunlopillo.. mana lagi ok? Tengah survey tilam yg okay utk diri sendiri yg selalu sakit belakang.</t>
  </si>
  <si>
    <t xml:space="preserve">https://www.threads.com/@dy.diyana/post/DYFZjg8E-F1</t>
  </si>
  <si>
    <t xml:space="preserve">2024-07-28</t>
  </si>
  <si>
    <t xml:space="preserve">boleh suggest tak tilam brand yg mana sesuai untuk slip disc? Spring / form / rebond ?</t>
  </si>
  <si>
    <t xml:space="preserve">2025-11-16</t>
  </si>
  <si>
    <t xml:space="preserve">ape bexa DPC SPRING dgn pocket spring? mne satu lebih baik?</t>
  </si>
  <si>
    <t xml:space="preserve">https://www.tiktok.com/@goodniteofficial/video/7511316860990737682</t>
  </si>
  <si>
    <t xml:space="preserve">2026-05-26</t>
  </si>
  <si>
    <t xml:space="preserve">Klau tilam yg dah tenggelam, meaning dah lendut, worth it ke beli topper tu?</t>
  </si>
  <si>
    <t xml:space="preserve">abang kalau partner lebih lebih 100kg kingkoil dan vono mana patut ambil. tak nak keras sangat sakit badan</t>
  </si>
  <si>
    <t xml:space="preserve">2021-12-10</t>
  </si>
  <si>
    <t xml:space="preserve">Do you have the info of the material used in these mattresses as i have been searching it but i found 0 result...</t>
  </si>
  <si>
    <t xml:space="preserve">I have no idea where to start, so need few recommendations, whether is bonnell or pocket spring, or hybrid...</t>
  </si>
  <si>
    <t xml:space="preserve">2023-07-01</t>
  </si>
  <si>
    <t xml:space="preserve">Tried to find out more info, but i couldn't find much on kingkoil official. So not sure if is worth it.</t>
  </si>
  <si>
    <t xml:space="preserve">anyone heard of Dreamland Royal Select or the Hotel Spine Care series? Can't find anything online about these 2 series.</t>
  </si>
  <si>
    <t xml:space="preserve">2023-07-24</t>
  </si>
  <si>
    <t xml:space="preserve">Was sleeping on spring old mattress(i think got 30 years old). So no idea what to change.</t>
  </si>
  <si>
    <t xml:space="preserve">looking at 2 queen sized mattress options now where both feel quite similar, so trying to see if can get any feedback on the mattress or the brand itself.</t>
  </si>
  <si>
    <t xml:space="preserve">2025-10-26</t>
  </si>
  <si>
    <t xml:space="preserve">Too many mattress in market dunno which one suppose to test/buy... test few and feel luxury rest good already but its above 3k...</t>
  </si>
  <si>
    <t xml:space="preserve">Pernah guna tilam murah cepat lendut.</t>
  </si>
  <si>
    <t xml:space="preserve">https://www.threads.com/@farhana_ramli/post/DOK4zDbCQ2T</t>
  </si>
  <si>
    <t xml:space="preserve">Tilam I sekarang jadi tenggelam dekat tengah tu. Bangun je sakit pinggang. Ingat nak beli tilam lain, ke nak letak topper je eh?? 🫠</t>
  </si>
  <si>
    <t xml:space="preserve">https://www.threads.com/@ainaajemal_/post/DTt9xhkCclI</t>
  </si>
  <si>
    <t xml:space="preserve">2026-06-18</t>
  </si>
  <si>
    <t xml:space="preserve">https://www.threads.com/@noraariffin_/post/DZtXoAME7rN</t>
  </si>
  <si>
    <t xml:space="preserve">2026-10-02</t>
  </si>
  <si>
    <t xml:space="preserve">Anyone ada masalah sinking bed? Tilam tenggelam, sbb terlalu lma tido kat one spot? Do you guys have any solution? Sakit belakang teruk ni setiap malam</t>
  </si>
  <si>
    <t xml:space="preserve">https://www.threads.com/@leoinhis24/post/Dd_ty6WE1C2</t>
  </si>
  <si>
    <t xml:space="preserve">2024-10-06</t>
  </si>
  <si>
    <t xml:space="preserve">tilam ni akan tenggelam x lama2. berapa keberatan max</t>
  </si>
  <si>
    <t xml:space="preserve">https://www.tiktok.com/@amirul_coway_/video/7408816814542687505</t>
  </si>
  <si>
    <t xml:space="preserve">2026-05-14</t>
  </si>
  <si>
    <t xml:space="preserve">sy tilam span biasa tu lau baring lma2 mendap esknya bgn sakit belakang🥺</t>
  </si>
  <si>
    <t xml:space="preserve">2026-06-30</t>
  </si>
  <si>
    <t xml:space="preserve">nmpak lembut..lma2 tak tenggelam ker bahagian tidur tu</t>
  </si>
  <si>
    <t xml:space="preserve">2026-07-01</t>
  </si>
  <si>
    <t xml:space="preserve">melendut x klu dh lama2 sy baru je tukar tilam bulan 2, tp xlama lepastu jd melendut,sakit belakang datang balik</t>
  </si>
  <si>
    <t xml:space="preserve">https://www.tiktok.com/@jielaracuntiktok/video/7655255475436424455</t>
  </si>
  <si>
    <t xml:space="preserve">2026-08-05</t>
  </si>
  <si>
    <t xml:space="preserve">kalau obese lama² lendut tak</t>
  </si>
  <si>
    <t xml:space="preserve">https://www.tiktok.com/@nasuharazali05/video/7643081281894419720</t>
  </si>
  <si>
    <t xml:space="preserve">2026-08-23</t>
  </si>
  <si>
    <t xml:space="preserve">Tengelam habis dia punya spring.. berbaloi dengan harga.. pakai setahun dua ok lah tu</t>
  </si>
  <si>
    <t xml:space="preserve">https://www.tiktok.com/@hairulvcool/video/7661054206257745170</t>
  </si>
  <si>
    <t xml:space="preserve">2017-06-18</t>
  </si>
  <si>
    <t xml:space="preserve">I'm using a Dunlopillo Duchess for 8 years now no problem so far but maybe it is due to wear and tear, it is sinking about 30-40% already....</t>
  </si>
  <si>
    <t xml:space="preserve">https://forum.lowyat.net/topic/843907/+4920</t>
  </si>
  <si>
    <t xml:space="preserve">I read review that it becomes saggy after 3-5 years and Serta wont honor its warranty bacoz of that.</t>
  </si>
  <si>
    <t xml:space="preserve">2021-12-29</t>
  </si>
  <si>
    <t xml:space="preserve">How do they feel after 6 months / 1year of usage? Still firm or dented already?</t>
  </si>
  <si>
    <t xml:space="preserve">2026-01-13</t>
  </si>
  <si>
    <t xml:space="preserve">https://www.threads.com/@ommiraiyan/post/DTblhclk9Cm</t>
  </si>
  <si>
    <t xml:space="preserve">tak lama lagi tu naik lah kuning2 dekat tilam tu😅</t>
  </si>
  <si>
    <t xml:space="preserve">https://www.threads.com/@aizawahab/post/DcBtUSglP_H</t>
  </si>
  <si>
    <t xml:space="preserve">2026-09-21</t>
  </si>
  <si>
    <t xml:space="preserve">Kalau anak terkencing atas tilam, korang biasanya cuci macam mana?</t>
  </si>
  <si>
    <t xml:space="preserve">https://www.threads.com/@iamabangjai/post/DdiLbPomV04</t>
  </si>
  <si>
    <t xml:space="preserve">2026-09-24</t>
  </si>
  <si>
    <t xml:space="preserve">Mencari orang yg buat service cuci tilam. Tilam yg lipat tu je sbb anak kencing atas tu.</t>
  </si>
  <si>
    <t xml:space="preserve">https://www.threads.com/@qilahnis/post/Ddpr9igGOFj</t>
  </si>
  <si>
    <t xml:space="preserve">2023-11-26</t>
  </si>
  <si>
    <t xml:space="preserve">kt rumah rawang toe bilik sy Guna tilam coway tp mse sy blk toe sy terkejut tilam coway dh terkulat padahal baru lgi beli...</t>
  </si>
  <si>
    <t xml:space="preserve">https://www.tiktok.com/@amirul_coway_/video/7283047892829457665</t>
  </si>
  <si>
    <t xml:space="preserve">2024-11-30</t>
  </si>
  <si>
    <t xml:space="preserve">buatlh warna gelap. kna kotor sikit nmpk sgt</t>
  </si>
  <si>
    <t xml:space="preserve">https://www.tiktok.com/@sultera.official/video/7427039598104136967</t>
  </si>
  <si>
    <t xml:space="preserve">2025-03-20</t>
  </si>
  <si>
    <t xml:space="preserve">yg lite tu kalau ank terkencing mcm mana nk cuci ye</t>
  </si>
  <si>
    <t xml:space="preserve">https://www.tiktok.com/@amirul_coway_/video/7442192131587886354</t>
  </si>
  <si>
    <t xml:space="preserve">2025-04-07</t>
  </si>
  <si>
    <t xml:space="preserve">waterproof ke? sesuai tak utk kanak2 kencing mlm?</t>
  </si>
  <si>
    <t xml:space="preserve">2026-06-27</t>
  </si>
  <si>
    <t xml:space="preserve">tengah tidur tetiba gatal kat kaki.. tergaru garu aku dibuatnya.. tilam baru..</t>
  </si>
  <si>
    <t xml:space="preserve">https://www.tiktok.com/@red.kleenz/video/7655932419291352341</t>
  </si>
  <si>
    <t xml:space="preserve">2026-06-29</t>
  </si>
  <si>
    <t xml:space="preserve">apalah tilam mahal mahal tak ada anti bedbug!!</t>
  </si>
  <si>
    <t xml:space="preserve">2021-12-28</t>
  </si>
  <si>
    <t xml:space="preserve">i only sit on the display bed so far (i afraid too many ppl lay down have virus on bed)</t>
  </si>
  <si>
    <t xml:space="preserve">2023-07-08</t>
  </si>
  <si>
    <t xml:space="preserve">my mattress kena purple (grape favour) yakult. and now the portion is purple. anyway i can remove this stain?</t>
  </si>
  <si>
    <t xml:space="preserve">2025-09-07</t>
  </si>
  <si>
    <t xml:space="preserve">https://www.threads.com/@rafidahsamat/post/DORE_lRk0J0</t>
  </si>
  <si>
    <t xml:space="preserve">2024-10-14</t>
  </si>
  <si>
    <t xml:space="preserve">If an ad says it won't tear your pocket, at the same time they wont display the prices, then you should already know its a scam</t>
  </si>
  <si>
    <t xml:space="preserve">https://www.tiktok.com/@reshlikespie/video/7393974696586251536</t>
  </si>
  <si>
    <t xml:space="preserve">2024-12-04</t>
  </si>
  <si>
    <t xml:space="preserve">Set tilam dan katil serta aircond berapa bulanan? Bayaran ansuran berapa lama?</t>
  </si>
  <si>
    <t xml:space="preserve">2025-03-26</t>
  </si>
  <si>
    <t xml:space="preserve">Bulanan queen rm109 mmg dpt betul2 mcm dlm video nie ke?</t>
  </si>
  <si>
    <t xml:space="preserve">2025-07-09</t>
  </si>
  <si>
    <t xml:space="preserve">sbb 10mlm td ad org wsp akk pasal topper sampai sini ak cari . sbb ingtkn scam haha.</t>
  </si>
  <si>
    <t xml:space="preserve">https://www.tiktok.com/@_syaifulaiman/video/7490791598377291026</t>
  </si>
  <si>
    <t xml:space="preserve">2026-06-28</t>
  </si>
  <si>
    <t xml:space="preserve">patutlah setiap hari dorg call sy offer mcm2... tutup ac lama tambah hutang baru nasib x terpengaruh 😂😂</t>
  </si>
  <si>
    <t xml:space="preserve">2017-06-21</t>
  </si>
  <si>
    <t xml:space="preserve">If they tell you prices are controlled and so on, go to another re-seller.</t>
  </si>
  <si>
    <t xml:space="preserve">Right after marriage, I was pressured into making a decision quick</t>
  </si>
  <si>
    <t xml:space="preserve">A quick shop around reveal the price is actually RM1.2k (the initial shop try to chop chop me).</t>
  </si>
  <si>
    <t xml:space="preserve">2020-09-06</t>
  </si>
  <si>
    <t xml:space="preserve">This get me wonder who should I trust and rather disappointing if it assembles locally without maintaining the quality to achieve better margin.</t>
  </si>
  <si>
    <t xml:space="preserve">2021-12-15</t>
  </si>
  <si>
    <t xml:space="preserve">I heard they are own oem rebrand. Not sure if I wanna spend on it or just get established brand.</t>
  </si>
  <si>
    <t xml:space="preserve">2025-10-30</t>
  </si>
  <si>
    <t xml:space="preserve">recently saw an ad for dunlopillo warehouse sale happening now, worth it to pay them a visit, or better to just buy from a proper boutique?</t>
  </si>
  <si>
    <t xml:space="preserve">Jangan sis mahal kalau u kira balik</t>
  </si>
  <si>
    <t xml:space="preserve">https://www.threads.com/@vicky.littlewolf/post/DOK0cDFAXFT</t>
  </si>
  <si>
    <t xml:space="preserve">2025-09-06</t>
  </si>
  <si>
    <t xml:space="preserve">Aku baru sign up tilam queen saiz daripada coway. Bulanan RM 49 kontrak 7 tahun. Berbaloi ke tak? Taknak agent coway yang respond ye haha</t>
  </si>
  <si>
    <t xml:space="preserve">https://www.threads.com/@tuanlxkmxn/post/DOQO10bEf8y</t>
  </si>
  <si>
    <t xml:space="preserve">49x12x7=4,116 gila</t>
  </si>
  <si>
    <t xml:space="preserve">https://www.threads.com/@tahribat_uzay/post/DOSoe7EkVGs</t>
  </si>
  <si>
    <t xml:space="preserve">2025-09-08</t>
  </si>
  <si>
    <t xml:space="preserve">https://www.threads.com/@ysmnikhsan/post/DOUq1dKkmPz</t>
  </si>
  <si>
    <t xml:space="preserve">Mudah kena makan sampai tilam pon loan 😂</t>
  </si>
  <si>
    <t xml:space="preserve">https://www.threads.com/@ezuee_/post/DOTw6g_Enl2</t>
  </si>
  <si>
    <t xml:space="preserve">Awal² kami ok je tp bila da lama kami rasa segan plak nk bgi org msuk pi servce tilam kita yg berpeta😅</t>
  </si>
  <si>
    <t xml:space="preserve">https://www.threads.com/@_jemahsyantik_/post/DOUF-BriuLn</t>
  </si>
  <si>
    <t xml:space="preserve">Tak nak hutang dah😭😭😭. Nak beli cash tak mmpu pulak😄.</t>
  </si>
  <si>
    <t xml:space="preserve">https://www.threads.com/@me_kinna/post/Dc98vqAkgJy</t>
  </si>
  <si>
    <t xml:space="preserve">2025-10-21</t>
  </si>
  <si>
    <t xml:space="preserve">Berbaloi ke x byr 7 tahun?? Sy br cdang nk beli, tp nk tgk review jujur korang dlu</t>
  </si>
  <si>
    <t xml:space="preserve">2026-05-28</t>
  </si>
  <si>
    <t xml:space="preserve">sebelum 3 tahun badan dah sakit2 sbb topper dah nipis....x selesa nk tidur...kene tggu bulan 9 cukup 3 tahun baru boleh tukar...badan dah lunyai...hurmm bulan2 tetap kene bayar not value for money 💰</t>
  </si>
  <si>
    <t xml:space="preserve">I pon tak suka beli produk byrn bulanan yg jika total mahal nak mampus.</t>
  </si>
  <si>
    <t xml:space="preserve">Semasa masih ada kontrak coway, coway buat tak tahu je kee?</t>
  </si>
  <si>
    <t xml:space="preserve">Aku dh beli tilam coway tp skali jer service .meme mcm tu dlm kontrak.aku pon xpaham why?</t>
  </si>
  <si>
    <t xml:space="preserve">dulu pakai tilam 1.2k mcm tu… lama2 sakit badan bangun tdo…</t>
  </si>
  <si>
    <t xml:space="preserve">https://www.threads.com/@nabilaaina/post/DP42AMnkg96</t>
  </si>
  <si>
    <t xml:space="preserve">Yg 1k tu dgn cepat jadi uneven, foam jadi keras dgn sakit badan.</t>
  </si>
  <si>
    <t xml:space="preserve">https://www.threads.com/@mattjehe/post/DP5apwokyh9</t>
  </si>
  <si>
    <t xml:space="preserve">2026-08-03</t>
  </si>
  <si>
    <t xml:space="preserve">https://www.threads.com/@hanisahrizal/post/DblC4DYibVB</t>
  </si>
  <si>
    <t xml:space="preserve">2026-09-11</t>
  </si>
  <si>
    <t xml:space="preserve">tapi bila aku buka tilam tu tak mengembang elok macam orang dok review. jadi leper ja zz bila aku chat seller depa nak bagi ganti rugi 10 ringgit ja</t>
  </si>
  <si>
    <t xml:space="preserve">https://www.threads.com/@yourb4bys/post/DdJHpnhEtY9</t>
  </si>
  <si>
    <t xml:space="preserve">2026-03-27</t>
  </si>
  <si>
    <t xml:space="preserve">bila kita beli hantar span awak tahu tak . saya dah beli hantar balik.</t>
  </si>
  <si>
    <t xml:space="preserve">https://www.tiktok.com/@adidedino/video/7570342160369863943</t>
  </si>
  <si>
    <t xml:space="preserve">2026-07-13</t>
  </si>
  <si>
    <t xml:space="preserve">Setelah 2 hari bau boleh pakai</t>
  </si>
  <si>
    <t xml:space="preserve">For years, I hv been using Fiberlux mattress - really like the firmness but dislike the regular flipping and it generally last only 7 yrs.</t>
  </si>
  <si>
    <t xml:space="preserve">https://forum.lowyat.net/topic/843907/+1840</t>
  </si>
  <si>
    <t xml:space="preserve">Hi, recently I bought a spring mattress from Goodnite. I touch the side of the mattress, it looks so cheap that can I touch the spring directly.</t>
  </si>
  <si>
    <t xml:space="preserve">2023-07-15</t>
  </si>
  <si>
    <t xml:space="preserve">they did free mattress protector but quality is bad.</t>
  </si>
  <si>
    <t xml:space="preserve">2026-03-01</t>
  </si>
  <si>
    <t xml:space="preserve">Kita kan yang Sabahan ni, kalau bab beli online kena fikir 2-3 kali, dia punya fee tu boleh tahan. Lagi-lagi beli perabot.</t>
  </si>
  <si>
    <t xml:space="preserve">https://www.threads.com/@mzxlfkr_h/post/DVUklqKEsen</t>
  </si>
  <si>
    <t xml:space="preserve">2026-08-28</t>
  </si>
  <si>
    <t xml:space="preserve">Hai korg,nk tnya mcm mana cara nak buang tilam ni tanpa kos</t>
  </si>
  <si>
    <t xml:space="preserve">https://www.threads.com/@arinaaqaisara/post/DclSs6ziah7</t>
  </si>
  <si>
    <t xml:space="preserve">berat tak sis... sbb nak letak dkt bilik loteng</t>
  </si>
  <si>
    <t xml:space="preserve">2026-06-07</t>
  </si>
  <si>
    <t xml:space="preserve">diorang hantar je tak tolong pasang 😅</t>
  </si>
  <si>
    <t xml:space="preserve">2026-06-22</t>
  </si>
  <si>
    <t xml:space="preserve">sape pernH tinggal kat asrama tahun2 90an mesti tahu betapa bestnya tido atas tilam latex ni.. tp bila nk angkat berat nak mampuih😂😂</t>
  </si>
  <si>
    <t xml:space="preserve">2026-09-26</t>
  </si>
  <si>
    <t xml:space="preserve">delivery cover area mana jer</t>
  </si>
  <si>
    <t xml:space="preserve">2026-10-05</t>
  </si>
  <si>
    <t xml:space="preserve">mahalnya post sabah 😂😂🤣</t>
  </si>
  <si>
    <t xml:space="preserve">After u expand the mattress, how u gonna bring it down if the mattress got issue?</t>
  </si>
  <si>
    <t xml:space="preserve">I nak honest review pls. Jangan promote kat komen. I terus block. I dah ada agent i.</t>
  </si>
  <si>
    <t xml:space="preserve">https://www.threads.com/@nisa.fkb/post/DOKsR-Sk3rp</t>
  </si>
  <si>
    <t xml:space="preserve">2026-02-16</t>
  </si>
  <si>
    <t xml:space="preserve">Siapa kat sini pernah beli tilam zinus? Nak tau ok ke tak? Dah pakai berapa lama. Berbaloi ke beli tilam tu? Nak honest review.</t>
  </si>
  <si>
    <t xml:space="preserve">https://www.threads.com/@_nunanunha_/post/DUzulzckt05</t>
  </si>
  <si>
    <t xml:space="preserve">tilam brand apa yang best tak sakit belakang? review jujur please..</t>
  </si>
  <si>
    <t xml:space="preserve">https://www.threads.com/@lena2_318/post/DaO_fV4k0w5</t>
  </si>
  <si>
    <t xml:space="preserve">Boleh tak stop promote pasal tilam Dr Macio tu? Especially affiliates yang tak pernah beli and pakai.</t>
  </si>
  <si>
    <t xml:space="preserve">2026-09-23</t>
  </si>
  <si>
    <t xml:space="preserve">Tak daya dah sakit belakang nie. Tilam apa yang okay dan harga tak keras sangat? Affiliate main jauh2</t>
  </si>
  <si>
    <t xml:space="preserve">https://www.threads.com/@thehbkx/post/DdnO5FympzI</t>
  </si>
  <si>
    <t xml:space="preserve">2025-04-08</t>
  </si>
  <si>
    <t xml:space="preserve">Review jujur sampai harini mcm mana ye sis tilam ni? Sakit belakang tak tidur?</t>
  </si>
  <si>
    <t xml:space="preserve">https://www.tiktok.com/@reen.izar/video/7424456033847889169</t>
  </si>
  <si>
    <t xml:space="preserve">2025-08-08</t>
  </si>
  <si>
    <t xml:space="preserve">Dr pls honest review k. Is it really worth to buy?</t>
  </si>
  <si>
    <t xml:space="preserve">https://www.tiktok.com/@faith_chuah/video/7529867931262389522</t>
  </si>
  <si>
    <t xml:space="preserve">masa baring ada rasa besi tak? review jujur please nak beli tapi dilema</t>
  </si>
  <si>
    <t xml:space="preserve">2025-01-16</t>
  </si>
  <si>
    <t xml:space="preserve">warranty TILAM apa je ?</t>
  </si>
  <si>
    <t xml:space="preserve">2025-12-22</t>
  </si>
  <si>
    <t xml:space="preserve">kalau tilam ada masalah melengkung atau mendap boleh tukar ke ada dalam warranty ke. saya tanya sebab kebiasaan tilam ada masalah ini</t>
  </si>
  <si>
    <t xml:space="preserve">2026-07-04</t>
  </si>
  <si>
    <t xml:space="preserve">Kalau katil frame tgh patah, ada warranty tak</t>
  </si>
  <si>
    <t xml:space="preserve">they have odd requirements to qualify (e.g. must be 1.5 inch sink, must have acceptable bed frame but do not have a strict definition on what is "acceptable" which is worrisome)</t>
  </si>
  <si>
    <t xml:space="preserve">the 10 yr warranty means you pay for shipment and fraction of repair cost.</t>
  </si>
  <si>
    <t xml:space="preserve">The 10 years warranty sounds ridiculous, in warranty period any repair cost should be bear by the company</t>
  </si>
  <si>
    <t xml:space="preserve">Tak berbaloi saya pakai rasa menyesal 😜</t>
  </si>
  <si>
    <t xml:space="preserve">https://www.threads.com/@ebby_mohfat/post/DOQniJJk5Xl</t>
  </si>
  <si>
    <t xml:space="preserve">2026-02-26</t>
  </si>
  <si>
    <t xml:space="preserve">https://www.threads.com/@dear_nazura/post/DVOd5U0krSl</t>
  </si>
  <si>
    <t xml:space="preserve">Taknak coway sebab dah pernah guna tak best even i sendiri jual coway 😅</t>
  </si>
  <si>
    <t xml:space="preserve">2026-03-10</t>
  </si>
  <si>
    <t xml:space="preserve">Sekali beli nipis. Nyesal beli</t>
  </si>
  <si>
    <t xml:space="preserve">Highly regretting buying that bed, but i got zero idea what to do next (throw and buy something more expensive???!)</t>
  </si>
  <si>
    <t xml:space="preserve">Malaysia ni hangatt benor, maaf cakap, memang I akan grab semua yg ada perkataan "cooling" ❄️</t>
  </si>
  <si>
    <t xml:space="preserve">https://www.threads.com/@dayanghidayah__/post/DZXjWCFD9h_</t>
  </si>
  <si>
    <t xml:space="preserve">2026-06-02</t>
  </si>
  <si>
    <t xml:space="preserve">2026-06-17</t>
  </si>
  <si>
    <t xml:space="preserve">tpi aku rasa kalau tilam tu dia cakap tak panas aku tak caya lah dalam bilik pasti panas klo x da kipas</t>
  </si>
  <si>
    <t xml:space="preserve">2023-06-27</t>
  </si>
  <si>
    <t xml:space="preserve">I sleep without the AC, and use a single fan in my room so I'd like something that retains coolness.</t>
  </si>
  <si>
    <t xml:space="preserve">2026-09-06</t>
  </si>
  <si>
    <t xml:space="preserve">https://www.threads.com/@eleenasanusi/post/Dc7rKrQiVLr</t>
  </si>
  <si>
    <t xml:space="preserve">2026-08-22</t>
  </si>
  <si>
    <t xml:space="preserve">kalau spring main bunyi bang,kantoi ngn anak nanti</t>
  </si>
  <si>
    <t xml:space="preserve">2026-08-29</t>
  </si>
  <si>
    <t xml:space="preserve">Joey mattress ni kalau tidur dua orang, rasa gegar tak bila sorg bergerak?</t>
  </si>
  <si>
    <t xml:space="preserve">https://www.tiktok.com/@diyanaizan26/video/7654588223083023636</t>
  </si>
  <si>
    <t xml:space="preserve">do you have something firmer than Sealy Posturepedic Elevate Cortland and has low disturbance as I like to toss and turn until I sleep.</t>
  </si>
  <si>
    <t xml:space="preserve">Sadly I need one for my hometown which is a small town that's limited in choice.</t>
  </si>
  <si>
    <t xml:space="preserve">2025-11-05</t>
  </si>
  <si>
    <t xml:space="preserve">also possible buy from you and deliver to Melaka? Hard to find mattress shop here</t>
  </si>
  <si>
    <t xml:space="preserve">Perkara</t>
  </si>
  <si>
    <t xml:space="preserve">Nota</t>
  </si>
  <si>
    <t xml:space="preserve">Kaedah</t>
  </si>
  <si>
    <t xml:space="preserve">Ayat diambil verbatim daripada kandungan awam. Satu baris = satu ayat pain. Tiada kolum nama pengguna; link sumber ialah link awam post/video untuk semakan.</t>
  </si>
  <si>
    <t xml:space="preserve">~15 carian (cth. 'tilam sakit belakang', 'tilam tenggelam', 'tilam coway', 'tilam keras sangat') + balasan pada 8 post yang ramai komen. Post yang jelas promosi/affiliate tidak dimasukkan.</t>
  </si>
  <si>
    <t xml:space="preserve">81 video daripada 4 carian (tilam sakit belakang, tilam tenggelam, tilam coway, review tilam jujur). 2,089 komen ditarik, ditapis kepada BM/Inggeris dan kata kunci pain, kemudian dipilih manual. Link menghala ke video (komen individu tiada link sendiri). Komen 'nak link' dan pujian ejen/affiliate dibuang.</t>
  </si>
  <si>
    <t xml:space="preserve">10 halaman thread 'Household Mattress, which brand to go for?' (2017–2025).</t>
  </si>
  <si>
    <t xml:space="preserve">Reddit</t>
  </si>
  <si>
    <t xml:space="preserve">Tidak termasuk; disekat daripada sesi ini.</t>
  </si>
  <si>
    <t xml:space="preserve">Dilabel manual oleh Claude, satu ayat satu kategori. Tukar di kolum E tab 'Ayat Pain' dan Ringkasan akan ikut.</t>
  </si>
  <si>
    <t xml:space="preserve">'Ya' jika ayat itu menyebut Coway atau datang daripada video/thread yang khusus tentang tilam Coway. Baris diwarnakan kuning muda.</t>
  </si>
  <si>
    <t xml:space="preserve">Bias</t>
  </si>
  <si>
    <t xml:space="preserve">Carian TikTok dan Threads condong kepada pembeli yang sedang survey (ramai bertanya, kurang yang dah beli). Video jenama/ejen menarik komen positif, jadi pain di situ mungkin terkurang kira.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</si>
</sst>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1F5FB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1F5FBF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hreads.com/@_eiryeenathasya/post/DKSjjXwhzFV" TargetMode="External"/><Relationship Id="rId2" Type="http://schemas.openxmlformats.org/officeDocument/2006/relationships/hyperlink" Target="https://www.threads.com/@farhanaaneesa/post/DPvelJTkodi" TargetMode="External"/><Relationship Id="rId3" Type="http://schemas.openxmlformats.org/officeDocument/2006/relationships/hyperlink" Target="https://www.threads.com/@frhnani.j/post/DP4KrJhgXy9" TargetMode="External"/><Relationship Id="rId4" Type="http://schemas.openxmlformats.org/officeDocument/2006/relationships/hyperlink" Target="https://www.threads.com/@syasyamazalan_/post/DYuSzWOkmME" TargetMode="External"/><Relationship Id="rId5" Type="http://schemas.openxmlformats.org/officeDocument/2006/relationships/hyperlink" Target="https://www.threads.com/@symimo_/post/DcANkLPD3Ys" TargetMode="External"/><Relationship Id="rId6" Type="http://schemas.openxmlformats.org/officeDocument/2006/relationships/hyperlink" Target="https://www.threads.com/@syamsul.izzat/post/Ddki4HVnxGQ" TargetMode="External"/><Relationship Id="rId7" Type="http://schemas.openxmlformats.org/officeDocument/2006/relationships/hyperlink" Target="https://www.tiktok.com/@salam_coway/video/7516809339831684370" TargetMode="External"/><Relationship Id="rId8" Type="http://schemas.openxmlformats.org/officeDocument/2006/relationships/hyperlink" Target="https://www.tiktok.com/@vonomalaysia/video/7534988212297682183" TargetMode="External"/><Relationship Id="rId9" Type="http://schemas.openxmlformats.org/officeDocument/2006/relationships/hyperlink" Target="https://www.tiktok.com/@kudean.zainalhome/video/7673444572055309576" TargetMode="External"/><Relationship Id="rId10" Type="http://schemas.openxmlformats.org/officeDocument/2006/relationships/hyperlink" Target="https://www.tiktok.com/@kudean.zainalhome/video/7673444572055309576" TargetMode="External"/><Relationship Id="rId11" Type="http://schemas.openxmlformats.org/officeDocument/2006/relationships/hyperlink" Target="https://forum.lowyat.net/topic/843907/+440" TargetMode="External"/><Relationship Id="rId12" Type="http://schemas.openxmlformats.org/officeDocument/2006/relationships/hyperlink" Target="https://forum.lowyat.net/topic/843907/+6260" TargetMode="External"/><Relationship Id="rId13" Type="http://schemas.openxmlformats.org/officeDocument/2006/relationships/hyperlink" Target="https://forum.lowyat.net/topic/843907/+6487" TargetMode="External"/><Relationship Id="rId14" Type="http://schemas.openxmlformats.org/officeDocument/2006/relationships/hyperlink" Target="https://forum.lowyat.net/topic/843907/+6520" TargetMode="External"/><Relationship Id="rId15" Type="http://schemas.openxmlformats.org/officeDocument/2006/relationships/hyperlink" Target="https://forum.lowyat.net/topic/843907/+6960" TargetMode="External"/><Relationship Id="rId16" Type="http://schemas.openxmlformats.org/officeDocument/2006/relationships/hyperlink" Target="https://forum.lowyat.net/topic/843907/+7487" TargetMode="External"/><Relationship Id="rId17" Type="http://schemas.openxmlformats.org/officeDocument/2006/relationships/hyperlink" Target="https://forum.lowyat.net/topic/843907/+7980" TargetMode="External"/><Relationship Id="rId18" Type="http://schemas.openxmlformats.org/officeDocument/2006/relationships/hyperlink" Target="https://forum.lowyat.net/topic/843907/+8000" TargetMode="External"/><Relationship Id="rId19" Type="http://schemas.openxmlformats.org/officeDocument/2006/relationships/hyperlink" Target="https://forum.lowyat.net/topic/843907/+8000" TargetMode="External"/><Relationship Id="rId20" Type="http://schemas.openxmlformats.org/officeDocument/2006/relationships/hyperlink" Target="https://www.threads.com/@nyaklisa/post/DPFZrHzklHq" TargetMode="External"/><Relationship Id="rId21" Type="http://schemas.openxmlformats.org/officeDocument/2006/relationships/hyperlink" Target="https://www.threads.com/@lillyaamzn/post/DZKfor-GNUw" TargetMode="External"/><Relationship Id="rId22" Type="http://schemas.openxmlformats.org/officeDocument/2006/relationships/hyperlink" Target="https://www.tiktok.com/@_syaifulaiman/video/7599517592411360520" TargetMode="External"/><Relationship Id="rId23" Type="http://schemas.openxmlformats.org/officeDocument/2006/relationships/hyperlink" Target="https://www.tiktok.com/@salam_coway/video/7516809339831684370" TargetMode="External"/><Relationship Id="rId24" Type="http://schemas.openxmlformats.org/officeDocument/2006/relationships/hyperlink" Target="https://www.tiktok.com/@salam_coway/video/7516809339831684370" TargetMode="External"/><Relationship Id="rId25" Type="http://schemas.openxmlformats.org/officeDocument/2006/relationships/hyperlink" Target="https://www.tiktok.com/@myeidris/video/7297156857053908232" TargetMode="External"/><Relationship Id="rId26" Type="http://schemas.openxmlformats.org/officeDocument/2006/relationships/hyperlink" Target="https://www.tiktok.com/@vonomalaysia/video/7527122276873981185" TargetMode="External"/><Relationship Id="rId27" Type="http://schemas.openxmlformats.org/officeDocument/2006/relationships/hyperlink" Target="https://www.tiktok.com/@me_alisya/video/7594685728978701576" TargetMode="External"/><Relationship Id="rId28" Type="http://schemas.openxmlformats.org/officeDocument/2006/relationships/hyperlink" Target="https://forum.lowyat.net/topic/843907/+6260" TargetMode="External"/><Relationship Id="rId29" Type="http://schemas.openxmlformats.org/officeDocument/2006/relationships/hyperlink" Target="https://forum.lowyat.net/topic/843907/+6260" TargetMode="External"/><Relationship Id="rId30" Type="http://schemas.openxmlformats.org/officeDocument/2006/relationships/hyperlink" Target="https://forum.lowyat.net/topic/843907/+6260" TargetMode="External"/><Relationship Id="rId31" Type="http://schemas.openxmlformats.org/officeDocument/2006/relationships/hyperlink" Target="https://forum.lowyat.net/topic/843907/+6520" TargetMode="External"/><Relationship Id="rId32" Type="http://schemas.openxmlformats.org/officeDocument/2006/relationships/hyperlink" Target="https://forum.lowyat.net/topic/843907/+6960" TargetMode="External"/><Relationship Id="rId33" Type="http://schemas.openxmlformats.org/officeDocument/2006/relationships/hyperlink" Target="https://forum.lowyat.net/topic/843907/+6960" TargetMode="External"/><Relationship Id="rId34" Type="http://schemas.openxmlformats.org/officeDocument/2006/relationships/hyperlink" Target="https://forum.lowyat.net/topic/843907/+6960" TargetMode="External"/><Relationship Id="rId35" Type="http://schemas.openxmlformats.org/officeDocument/2006/relationships/hyperlink" Target="https://forum.lowyat.net/topic/843907/+7487" TargetMode="External"/><Relationship Id="rId36" Type="http://schemas.openxmlformats.org/officeDocument/2006/relationships/hyperlink" Target="https://forum.lowyat.net/topic/843907/+7980" TargetMode="External"/><Relationship Id="rId37" Type="http://schemas.openxmlformats.org/officeDocument/2006/relationships/hyperlink" Target="https://forum.lowyat.net/topic/843907/+7980" TargetMode="External"/><Relationship Id="rId38" Type="http://schemas.openxmlformats.org/officeDocument/2006/relationships/hyperlink" Target="https://forum.lowyat.net/topic/843907/+8000" TargetMode="External"/><Relationship Id="rId39" Type="http://schemas.openxmlformats.org/officeDocument/2006/relationships/hyperlink" Target="https://www.threads.com/@nizamtalks/post/DGgGCefPRZT" TargetMode="External"/><Relationship Id="rId40" Type="http://schemas.openxmlformats.org/officeDocument/2006/relationships/hyperlink" Target="https://www.threads.com/@milieeeeeyy/post/DZWGrv0kyUP" TargetMode="External"/><Relationship Id="rId41" Type="http://schemas.openxmlformats.org/officeDocument/2006/relationships/hyperlink" Target="https://www.threads.com/@miramazlan___/post/DZW368IEsC-" TargetMode="External"/><Relationship Id="rId42" Type="http://schemas.openxmlformats.org/officeDocument/2006/relationships/hyperlink" Target="https://www.threads.com/@me_kinna/post/Dc96YB1kuwL" TargetMode="External"/><Relationship Id="rId43" Type="http://schemas.openxmlformats.org/officeDocument/2006/relationships/hyperlink" Target="https://www.tiktok.com/@drzahir.ortho/video/7359054445277203730" TargetMode="External"/><Relationship Id="rId44" Type="http://schemas.openxmlformats.org/officeDocument/2006/relationships/hyperlink" Target="https://www.tiktok.com/@salam_coway/video/7516809339831684370" TargetMode="External"/><Relationship Id="rId45" Type="http://schemas.openxmlformats.org/officeDocument/2006/relationships/hyperlink" Target="https://www.tiktok.com/@salam_coway/video/7516809339831684370" TargetMode="External"/><Relationship Id="rId46" Type="http://schemas.openxmlformats.org/officeDocument/2006/relationships/hyperlink" Target="https://www.tiktok.com/@drzahir.ortho/video/7359054445277203730" TargetMode="External"/><Relationship Id="rId47" Type="http://schemas.openxmlformats.org/officeDocument/2006/relationships/hyperlink" Target="https://www.tiktok.com/@fiqahar/video/7632990429172092181" TargetMode="External"/><Relationship Id="rId48" Type="http://schemas.openxmlformats.org/officeDocument/2006/relationships/hyperlink" Target="https://www.tiktok.com/@ajmal_legacy/video/7647945200601468168" TargetMode="External"/><Relationship Id="rId49" Type="http://schemas.openxmlformats.org/officeDocument/2006/relationships/hyperlink" Target="https://www.tiktok.com/@vonomalaysia/video/7527122276873981185" TargetMode="External"/><Relationship Id="rId50" Type="http://schemas.openxmlformats.org/officeDocument/2006/relationships/hyperlink" Target="https://www.tiktok.com/@te4hhh._/video/7677509010823646485" TargetMode="External"/><Relationship Id="rId51" Type="http://schemas.openxmlformats.org/officeDocument/2006/relationships/hyperlink" Target="https://forum.lowyat.net/topic/843907/+6260" TargetMode="External"/><Relationship Id="rId52" Type="http://schemas.openxmlformats.org/officeDocument/2006/relationships/hyperlink" Target="https://forum.lowyat.net/topic/843907/+6260" TargetMode="External"/><Relationship Id="rId53" Type="http://schemas.openxmlformats.org/officeDocument/2006/relationships/hyperlink" Target="https://forum.lowyat.net/topic/843907/+6520" TargetMode="External"/><Relationship Id="rId54" Type="http://schemas.openxmlformats.org/officeDocument/2006/relationships/hyperlink" Target="https://forum.lowyat.net/topic/843907/+7487" TargetMode="External"/><Relationship Id="rId55" Type="http://schemas.openxmlformats.org/officeDocument/2006/relationships/hyperlink" Target="https://forum.lowyat.net/topic/843907/+7487" TargetMode="External"/><Relationship Id="rId56" Type="http://schemas.openxmlformats.org/officeDocument/2006/relationships/hyperlink" Target="https://forum.lowyat.net/topic/843907/+8000" TargetMode="External"/><Relationship Id="rId57" Type="http://schemas.openxmlformats.org/officeDocument/2006/relationships/hyperlink" Target="https://www.threads.com/@razip_zainijasri/post/DMHPrSKRgVd" TargetMode="External"/><Relationship Id="rId58" Type="http://schemas.openxmlformats.org/officeDocument/2006/relationships/hyperlink" Target="https://www.threads.com/@ainaajemal_/post/DTu-bKyCbSI" TargetMode="External"/><Relationship Id="rId59" Type="http://schemas.openxmlformats.org/officeDocument/2006/relationships/hyperlink" Target="https://www.threads.com/@wanemirul13/post/DTuluUwkgxv" TargetMode="External"/><Relationship Id="rId60" Type="http://schemas.openxmlformats.org/officeDocument/2006/relationships/hyperlink" Target="https://www.threads.com/@dy.diyana/post/DYFZjg8E-F1" TargetMode="External"/><Relationship Id="rId61" Type="http://schemas.openxmlformats.org/officeDocument/2006/relationships/hyperlink" Target="https://www.tiktok.com/@drzahir.ortho/video/7359054445277203730" TargetMode="External"/><Relationship Id="rId62" Type="http://schemas.openxmlformats.org/officeDocument/2006/relationships/hyperlink" Target="https://www.tiktok.com/@goodniteofficial/video/7511316860990737682" TargetMode="External"/><Relationship Id="rId63" Type="http://schemas.openxmlformats.org/officeDocument/2006/relationships/hyperlink" Target="https://www.tiktok.com/@me_alisya/video/7594685728978701576" TargetMode="External"/><Relationship Id="rId64" Type="http://schemas.openxmlformats.org/officeDocument/2006/relationships/hyperlink" Target="https://www.tiktok.com/@kudean.zainalhome/video/7673444572055309576" TargetMode="External"/><Relationship Id="rId65" Type="http://schemas.openxmlformats.org/officeDocument/2006/relationships/hyperlink" Target="https://forum.lowyat.net/topic/843907/+6960" TargetMode="External"/><Relationship Id="rId66" Type="http://schemas.openxmlformats.org/officeDocument/2006/relationships/hyperlink" Target="https://forum.lowyat.net/topic/843907/+6960" TargetMode="External"/><Relationship Id="rId67" Type="http://schemas.openxmlformats.org/officeDocument/2006/relationships/hyperlink" Target="https://forum.lowyat.net/topic/843907/+7487" TargetMode="External"/><Relationship Id="rId68" Type="http://schemas.openxmlformats.org/officeDocument/2006/relationships/hyperlink" Target="https://forum.lowyat.net/topic/843907/+7487" TargetMode="External"/><Relationship Id="rId69" Type="http://schemas.openxmlformats.org/officeDocument/2006/relationships/hyperlink" Target="https://forum.lowyat.net/topic/843907/+7487" TargetMode="External"/><Relationship Id="rId70" Type="http://schemas.openxmlformats.org/officeDocument/2006/relationships/hyperlink" Target="https://forum.lowyat.net/topic/843907/+7980" TargetMode="External"/><Relationship Id="rId71" Type="http://schemas.openxmlformats.org/officeDocument/2006/relationships/hyperlink" Target="https://forum.lowyat.net/topic/843907/+8000" TargetMode="External"/><Relationship Id="rId72" Type="http://schemas.openxmlformats.org/officeDocument/2006/relationships/hyperlink" Target="https://www.threads.com/@farhana_ramli/post/DOK4zDbCQ2T" TargetMode="External"/><Relationship Id="rId73" Type="http://schemas.openxmlformats.org/officeDocument/2006/relationships/hyperlink" Target="https://www.threads.com/@ainaajemal_/post/DTt9xhkCclI" TargetMode="External"/><Relationship Id="rId74" Type="http://schemas.openxmlformats.org/officeDocument/2006/relationships/hyperlink" Target="https://www.threads.com/@noraariffin_/post/DZtXoAME7rN" TargetMode="External"/><Relationship Id="rId75" Type="http://schemas.openxmlformats.org/officeDocument/2006/relationships/hyperlink" Target="https://www.threads.com/@leoinhis24/post/Dd_ty6WE1C2" TargetMode="External"/><Relationship Id="rId76" Type="http://schemas.openxmlformats.org/officeDocument/2006/relationships/hyperlink" Target="https://www.tiktok.com/@amirul_coway_/video/7408816814542687505" TargetMode="External"/><Relationship Id="rId77" Type="http://schemas.openxmlformats.org/officeDocument/2006/relationships/hyperlink" Target="https://www.tiktok.com/@fiqahar/video/7632990429172092181" TargetMode="External"/><Relationship Id="rId78" Type="http://schemas.openxmlformats.org/officeDocument/2006/relationships/hyperlink" Target="https://www.tiktok.com/@ajmal_legacy/video/7647945200601468168" TargetMode="External"/><Relationship Id="rId79" Type="http://schemas.openxmlformats.org/officeDocument/2006/relationships/hyperlink" Target="https://www.tiktok.com/@jielaracuntiktok/video/7655255475436424455" TargetMode="External"/><Relationship Id="rId80" Type="http://schemas.openxmlformats.org/officeDocument/2006/relationships/hyperlink" Target="https://www.tiktok.com/@nasuharazali05/video/7643081281894419720" TargetMode="External"/><Relationship Id="rId81" Type="http://schemas.openxmlformats.org/officeDocument/2006/relationships/hyperlink" Target="https://www.tiktok.com/@hairulvcool/video/7661054206257745170" TargetMode="External"/><Relationship Id="rId82" Type="http://schemas.openxmlformats.org/officeDocument/2006/relationships/hyperlink" Target="https://forum.lowyat.net/topic/843907/+4920" TargetMode="External"/><Relationship Id="rId83" Type="http://schemas.openxmlformats.org/officeDocument/2006/relationships/hyperlink" Target="https://forum.lowyat.net/topic/843907/+6520" TargetMode="External"/><Relationship Id="rId84" Type="http://schemas.openxmlformats.org/officeDocument/2006/relationships/hyperlink" Target="https://forum.lowyat.net/topic/843907/+6960" TargetMode="External"/><Relationship Id="rId85" Type="http://schemas.openxmlformats.org/officeDocument/2006/relationships/hyperlink" Target="https://www.threads.com/@ommiraiyan/post/DTblhclk9Cm" TargetMode="External"/><Relationship Id="rId86" Type="http://schemas.openxmlformats.org/officeDocument/2006/relationships/hyperlink" Target="https://www.threads.com/@aizawahab/post/DcBtUSglP_H" TargetMode="External"/><Relationship Id="rId87" Type="http://schemas.openxmlformats.org/officeDocument/2006/relationships/hyperlink" Target="https://www.threads.com/@iamabangjai/post/DdiLbPomV04" TargetMode="External"/><Relationship Id="rId88" Type="http://schemas.openxmlformats.org/officeDocument/2006/relationships/hyperlink" Target="https://www.threads.com/@qilahnis/post/Ddpr9igGOFj" TargetMode="External"/><Relationship Id="rId89" Type="http://schemas.openxmlformats.org/officeDocument/2006/relationships/hyperlink" Target="https://www.tiktok.com/@amirul_coway_/video/7283047892829457665" TargetMode="External"/><Relationship Id="rId90" Type="http://schemas.openxmlformats.org/officeDocument/2006/relationships/hyperlink" Target="https://www.tiktok.com/@sultera.official/video/7427039598104136967" TargetMode="External"/><Relationship Id="rId91" Type="http://schemas.openxmlformats.org/officeDocument/2006/relationships/hyperlink" Target="https://www.tiktok.com/@amirul_coway_/video/7442192131587886354" TargetMode="External"/><Relationship Id="rId92" Type="http://schemas.openxmlformats.org/officeDocument/2006/relationships/hyperlink" Target="https://www.tiktok.com/@sultera.official/video/7427039598104136967" TargetMode="External"/><Relationship Id="rId93" Type="http://schemas.openxmlformats.org/officeDocument/2006/relationships/hyperlink" Target="https://www.tiktok.com/@red.kleenz/video/7655932419291352341" TargetMode="External"/><Relationship Id="rId94" Type="http://schemas.openxmlformats.org/officeDocument/2006/relationships/hyperlink" Target="https://www.tiktok.com/@red.kleenz/video/7655932419291352341" TargetMode="External"/><Relationship Id="rId95" Type="http://schemas.openxmlformats.org/officeDocument/2006/relationships/hyperlink" Target="https://forum.lowyat.net/topic/843907/+6960" TargetMode="External"/><Relationship Id="rId96" Type="http://schemas.openxmlformats.org/officeDocument/2006/relationships/hyperlink" Target="https://forum.lowyat.net/topic/843907/+7487" TargetMode="External"/><Relationship Id="rId97" Type="http://schemas.openxmlformats.org/officeDocument/2006/relationships/hyperlink" Target="https://www.threads.com/@rafidahsamat/post/DORE_lRk0J0" TargetMode="External"/><Relationship Id="rId98" Type="http://schemas.openxmlformats.org/officeDocument/2006/relationships/hyperlink" Target="https://www.tiktok.com/@reshlikespie/video/7393974696586251536" TargetMode="External"/><Relationship Id="rId99" Type="http://schemas.openxmlformats.org/officeDocument/2006/relationships/hyperlink" Target="https://www.tiktok.com/@amirul_coway_/video/7408816814542687505" TargetMode="External"/><Relationship Id="rId100" Type="http://schemas.openxmlformats.org/officeDocument/2006/relationships/hyperlink" Target="https://www.tiktok.com/@amirul_coway_/video/7408816814542687505" TargetMode="External"/><Relationship Id="rId101" Type="http://schemas.openxmlformats.org/officeDocument/2006/relationships/hyperlink" Target="https://www.tiktok.com/@_syaifulaiman/video/7490791598377291026" TargetMode="External"/><Relationship Id="rId102" Type="http://schemas.openxmlformats.org/officeDocument/2006/relationships/hyperlink" Target="https://www.tiktok.com/@red.kleenz/video/7655932419291352341" TargetMode="External"/><Relationship Id="rId103" Type="http://schemas.openxmlformats.org/officeDocument/2006/relationships/hyperlink" Target="https://forum.lowyat.net/topic/843907/+4920" TargetMode="External"/><Relationship Id="rId104" Type="http://schemas.openxmlformats.org/officeDocument/2006/relationships/hyperlink" Target="https://forum.lowyat.net/topic/843907/+6260" TargetMode="External"/><Relationship Id="rId105" Type="http://schemas.openxmlformats.org/officeDocument/2006/relationships/hyperlink" Target="https://forum.lowyat.net/topic/843907/+6260" TargetMode="External"/><Relationship Id="rId106" Type="http://schemas.openxmlformats.org/officeDocument/2006/relationships/hyperlink" Target="https://forum.lowyat.net/topic/843907/+6520" TargetMode="External"/><Relationship Id="rId107" Type="http://schemas.openxmlformats.org/officeDocument/2006/relationships/hyperlink" Target="https://forum.lowyat.net/topic/843907/+6960" TargetMode="External"/><Relationship Id="rId108" Type="http://schemas.openxmlformats.org/officeDocument/2006/relationships/hyperlink" Target="https://forum.lowyat.net/topic/843907/+8000" TargetMode="External"/><Relationship Id="rId109" Type="http://schemas.openxmlformats.org/officeDocument/2006/relationships/hyperlink" Target="https://www.threads.com/@vicky.littlewolf/post/DOK0cDFAXFT" TargetMode="External"/><Relationship Id="rId110" Type="http://schemas.openxmlformats.org/officeDocument/2006/relationships/hyperlink" Target="https://www.threads.com/@tuanlxkmxn/post/DOQO10bEf8y" TargetMode="External"/><Relationship Id="rId111" Type="http://schemas.openxmlformats.org/officeDocument/2006/relationships/hyperlink" Target="https://www.threads.com/@tahribat_uzay/post/DOSoe7EkVGs" TargetMode="External"/><Relationship Id="rId112" Type="http://schemas.openxmlformats.org/officeDocument/2006/relationships/hyperlink" Target="https://www.threads.com/@ysmnikhsan/post/DOUq1dKkmPz" TargetMode="External"/><Relationship Id="rId113" Type="http://schemas.openxmlformats.org/officeDocument/2006/relationships/hyperlink" Target="https://www.threads.com/@ezuee_/post/DOTw6g_Enl2" TargetMode="External"/><Relationship Id="rId114" Type="http://schemas.openxmlformats.org/officeDocument/2006/relationships/hyperlink" Target="https://www.threads.com/@_jemahsyantik_/post/DOUF-BriuLn" TargetMode="External"/><Relationship Id="rId115" Type="http://schemas.openxmlformats.org/officeDocument/2006/relationships/hyperlink" Target="https://www.threads.com/@me_kinna/post/Dc98vqAkgJy" TargetMode="External"/><Relationship Id="rId116" Type="http://schemas.openxmlformats.org/officeDocument/2006/relationships/hyperlink" Target="https://www.tiktok.com/@salam_coway/video/7516809339831684370" TargetMode="External"/><Relationship Id="rId117" Type="http://schemas.openxmlformats.org/officeDocument/2006/relationships/hyperlink" Target="https://www.tiktok.com/@_syaifulaiman/video/7490791598377291026" TargetMode="External"/><Relationship Id="rId118" Type="http://schemas.openxmlformats.org/officeDocument/2006/relationships/hyperlink" Target="https://www.tiktok.com/@red.kleenz/video/7655932419291352341" TargetMode="External"/><Relationship Id="rId119" Type="http://schemas.openxmlformats.org/officeDocument/2006/relationships/hyperlink" Target="https://www.tiktok.com/@red.kleenz/video/7655932419291352341" TargetMode="External"/><Relationship Id="rId120" Type="http://schemas.openxmlformats.org/officeDocument/2006/relationships/hyperlink" Target="https://www.tiktok.com/@red.kleenz/video/7655932419291352341" TargetMode="External"/><Relationship Id="rId121" Type="http://schemas.openxmlformats.org/officeDocument/2006/relationships/hyperlink" Target="https://www.threads.com/@nabilaaina/post/DP42AMnkg96" TargetMode="External"/><Relationship Id="rId122" Type="http://schemas.openxmlformats.org/officeDocument/2006/relationships/hyperlink" Target="https://www.threads.com/@mattjehe/post/DP5apwokyh9" TargetMode="External"/><Relationship Id="rId123" Type="http://schemas.openxmlformats.org/officeDocument/2006/relationships/hyperlink" Target="https://www.threads.com/@hanisahrizal/post/DblC4DYibVB" TargetMode="External"/><Relationship Id="rId124" Type="http://schemas.openxmlformats.org/officeDocument/2006/relationships/hyperlink" Target="https://www.threads.com/@yourb4bys/post/DdJHpnhEtY9" TargetMode="External"/><Relationship Id="rId125" Type="http://schemas.openxmlformats.org/officeDocument/2006/relationships/hyperlink" Target="https://www.tiktok.com/@adidedino/video/7570342160369863943" TargetMode="External"/><Relationship Id="rId126" Type="http://schemas.openxmlformats.org/officeDocument/2006/relationships/hyperlink" Target="https://www.tiktok.com/@hairulvcool/video/7661054206257745170" TargetMode="External"/><Relationship Id="rId127" Type="http://schemas.openxmlformats.org/officeDocument/2006/relationships/hyperlink" Target="https://forum.lowyat.net/topic/843907/+1840" TargetMode="External"/><Relationship Id="rId128" Type="http://schemas.openxmlformats.org/officeDocument/2006/relationships/hyperlink" Target="https://forum.lowyat.net/topic/843907/+6487" TargetMode="External"/><Relationship Id="rId129" Type="http://schemas.openxmlformats.org/officeDocument/2006/relationships/hyperlink" Target="https://forum.lowyat.net/topic/843907/+7487" TargetMode="External"/><Relationship Id="rId130" Type="http://schemas.openxmlformats.org/officeDocument/2006/relationships/hyperlink" Target="https://www.threads.com/@mzxlfkr_h/post/DVUklqKEsen" TargetMode="External"/><Relationship Id="rId131" Type="http://schemas.openxmlformats.org/officeDocument/2006/relationships/hyperlink" Target="https://www.threads.com/@arinaaqaisara/post/DclSs6ziah7" TargetMode="External"/><Relationship Id="rId132" Type="http://schemas.openxmlformats.org/officeDocument/2006/relationships/hyperlink" Target="https://www.tiktok.com/@fiqahar/video/7632990429172092181" TargetMode="External"/><Relationship Id="rId133" Type="http://schemas.openxmlformats.org/officeDocument/2006/relationships/hyperlink" Target="https://www.tiktok.com/@_syaifulaiman/video/7490791598377291026" TargetMode="External"/><Relationship Id="rId134" Type="http://schemas.openxmlformats.org/officeDocument/2006/relationships/hyperlink" Target="https://www.tiktok.com/@ajmal_legacy/video/7647945200601468168" TargetMode="External"/><Relationship Id="rId135" Type="http://schemas.openxmlformats.org/officeDocument/2006/relationships/hyperlink" Target="https://www.tiktok.com/@jielaracuntiktok/video/7655255475436424455" TargetMode="External"/><Relationship Id="rId136" Type="http://schemas.openxmlformats.org/officeDocument/2006/relationships/hyperlink" Target="https://www.tiktok.com/@fiqahar/video/7632990429172092181" TargetMode="External"/><Relationship Id="rId137" Type="http://schemas.openxmlformats.org/officeDocument/2006/relationships/hyperlink" Target="https://forum.lowyat.net/topic/843907/+6960" TargetMode="External"/><Relationship Id="rId138" Type="http://schemas.openxmlformats.org/officeDocument/2006/relationships/hyperlink" Target="https://forum.lowyat.net/topic/843907/+6960" TargetMode="External"/><Relationship Id="rId139" Type="http://schemas.openxmlformats.org/officeDocument/2006/relationships/hyperlink" Target="https://www.threads.com/@nisa.fkb/post/DOKsR-Sk3rp" TargetMode="External"/><Relationship Id="rId140" Type="http://schemas.openxmlformats.org/officeDocument/2006/relationships/hyperlink" Target="https://www.threads.com/@_nunanunha_/post/DUzulzckt05" TargetMode="External"/><Relationship Id="rId141" Type="http://schemas.openxmlformats.org/officeDocument/2006/relationships/hyperlink" Target="https://www.threads.com/@syasyamazalan_/post/DYuSzWOkmME" TargetMode="External"/><Relationship Id="rId142" Type="http://schemas.openxmlformats.org/officeDocument/2006/relationships/hyperlink" Target="https://www.threads.com/@lena2_318/post/DaO_fV4k0w5" TargetMode="External"/><Relationship Id="rId143" Type="http://schemas.openxmlformats.org/officeDocument/2006/relationships/hyperlink" Target="https://www.threads.com/@hanisahrizal/post/DblC4DYibVB" TargetMode="External"/><Relationship Id="rId144" Type="http://schemas.openxmlformats.org/officeDocument/2006/relationships/hyperlink" Target="https://www.threads.com/@thehbkx/post/DdnO5FympzI" TargetMode="External"/><Relationship Id="rId145" Type="http://schemas.openxmlformats.org/officeDocument/2006/relationships/hyperlink" Target="https://www.tiktok.com/@reen.izar/video/7424456033847889169" TargetMode="External"/><Relationship Id="rId146" Type="http://schemas.openxmlformats.org/officeDocument/2006/relationships/hyperlink" Target="https://www.tiktok.com/@faith_chuah/video/7529867931262389522" TargetMode="External"/><Relationship Id="rId147" Type="http://schemas.openxmlformats.org/officeDocument/2006/relationships/hyperlink" Target="https://www.tiktok.com/@fiqahar/video/7632990429172092181" TargetMode="External"/><Relationship Id="rId148" Type="http://schemas.openxmlformats.org/officeDocument/2006/relationships/hyperlink" Target="https://www.tiktok.com/@amirul_coway_/video/7408816814542687505" TargetMode="External"/><Relationship Id="rId149" Type="http://schemas.openxmlformats.org/officeDocument/2006/relationships/hyperlink" Target="https://www.tiktok.com/@salam_coway/video/7516809339831684370" TargetMode="External"/><Relationship Id="rId150" Type="http://schemas.openxmlformats.org/officeDocument/2006/relationships/hyperlink" Target="https://www.tiktok.com/@salam_coway/video/7516809339831684370" TargetMode="External"/><Relationship Id="rId151" Type="http://schemas.openxmlformats.org/officeDocument/2006/relationships/hyperlink" Target="https://forum.lowyat.net/topic/843907/+4920" TargetMode="External"/><Relationship Id="rId152" Type="http://schemas.openxmlformats.org/officeDocument/2006/relationships/hyperlink" Target="https://forum.lowyat.net/topic/843907/+4920" TargetMode="External"/><Relationship Id="rId153" Type="http://schemas.openxmlformats.org/officeDocument/2006/relationships/hyperlink" Target="https://forum.lowyat.net/topic/843907/+4920" TargetMode="External"/><Relationship Id="rId154" Type="http://schemas.openxmlformats.org/officeDocument/2006/relationships/hyperlink" Target="https://forum.lowyat.net/topic/843907/+4920" TargetMode="External"/><Relationship Id="rId155" Type="http://schemas.openxmlformats.org/officeDocument/2006/relationships/hyperlink" Target="https://www.threads.com/@ebby_mohfat/post/DOQniJJk5Xl" TargetMode="External"/><Relationship Id="rId156" Type="http://schemas.openxmlformats.org/officeDocument/2006/relationships/hyperlink" Target="https://www.threads.com/@dear_nazura/post/DVOd5U0krSl" TargetMode="External"/><Relationship Id="rId157" Type="http://schemas.openxmlformats.org/officeDocument/2006/relationships/hyperlink" Target="https://www.threads.com/@lillyaamzn/post/DZKfor-GNUw" TargetMode="External"/><Relationship Id="rId158" Type="http://schemas.openxmlformats.org/officeDocument/2006/relationships/hyperlink" Target="https://www.tiktok.com/@adidedino/video/7570342160369863943" TargetMode="External"/><Relationship Id="rId159" Type="http://schemas.openxmlformats.org/officeDocument/2006/relationships/hyperlink" Target="https://forum.lowyat.net/topic/843907/+6260" TargetMode="External"/><Relationship Id="rId160" Type="http://schemas.openxmlformats.org/officeDocument/2006/relationships/hyperlink" Target="https://www.threads.com/@dayanghidayah__/post/DZXjWCFD9h_" TargetMode="External"/><Relationship Id="rId161" Type="http://schemas.openxmlformats.org/officeDocument/2006/relationships/hyperlink" Target="https://www.tiktok.com/@fiqahar/video/7632990429172092181" TargetMode="External"/><Relationship Id="rId162" Type="http://schemas.openxmlformats.org/officeDocument/2006/relationships/hyperlink" Target="https://www.tiktok.com/@ajmal_legacy/video/7647945200601468168" TargetMode="External"/><Relationship Id="rId163" Type="http://schemas.openxmlformats.org/officeDocument/2006/relationships/hyperlink" Target="https://forum.lowyat.net/topic/843907/+7487" TargetMode="External"/><Relationship Id="rId164" Type="http://schemas.openxmlformats.org/officeDocument/2006/relationships/hyperlink" Target="https://www.threads.com/@eleenasanusi/post/Dc7rKrQiVLr" TargetMode="External"/><Relationship Id="rId165" Type="http://schemas.openxmlformats.org/officeDocument/2006/relationships/hyperlink" Target="https://www.tiktok.com/@hairulvcool/video/7661054206257745170" TargetMode="External"/><Relationship Id="rId166" Type="http://schemas.openxmlformats.org/officeDocument/2006/relationships/hyperlink" Target="https://www.tiktok.com/@diyanaizan26/video/7654588223083023636" TargetMode="External"/><Relationship Id="rId167" Type="http://schemas.openxmlformats.org/officeDocument/2006/relationships/hyperlink" Target="https://forum.lowyat.net/topic/843907/+7980" TargetMode="External"/><Relationship Id="rId168" Type="http://schemas.openxmlformats.org/officeDocument/2006/relationships/hyperlink" Target="https://forum.lowyat.net/topic/843907/+6520" TargetMode="External"/><Relationship Id="rId169" Type="http://schemas.openxmlformats.org/officeDocument/2006/relationships/hyperlink" Target="https://forum.lowyat.net/topic/843907/+8000" TargetMode="External"/><Relationship Id="rId17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6" min="4" style="0" width="9"/>
    <col collapsed="false" customWidth="true" hidden="false" outlineLevel="0" max="7" min="7" style="0" width="8"/>
    <col collapsed="false" customWidth="true" hidden="false" outlineLevel="0" max="8" min="8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  <c r="B4" s="4" t="n">
        <f aca="false">COUNTA('Ayat Pain'!$F$2:$F$170)</f>
        <v>169</v>
      </c>
    </row>
    <row r="5" customFormat="false" ht="15" hidden="false" customHeight="false" outlineLevel="0" collapsed="false">
      <c r="A5" s="5" t="s">
        <v>3</v>
      </c>
      <c r="B5" s="3" t="n">
        <f aca="false">COUNTIF('Ayat Pain'!$B$2:$B$170,"Threads")</f>
        <v>49</v>
      </c>
    </row>
    <row r="6" customFormat="false" ht="15" hidden="false" customHeight="false" outlineLevel="0" collapsed="false">
      <c r="A6" s="5" t="s">
        <v>4</v>
      </c>
      <c r="B6" s="3" t="n">
        <f aca="false">COUNTIF('Ayat Pain'!$B$2:$B$170,"TikTok")</f>
        <v>62</v>
      </c>
    </row>
    <row r="7" customFormat="false" ht="15" hidden="false" customHeight="false" outlineLevel="0" collapsed="false">
      <c r="A7" s="5" t="s">
        <v>5</v>
      </c>
      <c r="B7" s="3" t="n">
        <f aca="false">COUNTIF('Ayat Pain'!$B$2:$B$170,"Lowyat")</f>
        <v>58</v>
      </c>
    </row>
    <row r="8" customFormat="false" ht="15" hidden="false" customHeight="false" outlineLevel="0" collapsed="false">
      <c r="A8" s="5" t="s">
        <v>6</v>
      </c>
      <c r="B8" s="3" t="n">
        <f aca="false">COUNTIF('Ayat Pain'!$H$2:$H$170,"Ya")</f>
        <v>38</v>
      </c>
    </row>
    <row r="10" customFormat="false" ht="15" hidden="false" customHeight="false" outlineLevel="0" collapsed="false">
      <c r="A10" s="6" t="s">
        <v>7</v>
      </c>
      <c r="B10" s="6" t="s">
        <v>8</v>
      </c>
      <c r="C10" s="6" t="s">
        <v>9</v>
      </c>
      <c r="D10" s="6" t="s">
        <v>3</v>
      </c>
      <c r="E10" s="6" t="s">
        <v>4</v>
      </c>
      <c r="F10" s="6" t="s">
        <v>5</v>
      </c>
      <c r="G10" s="6" t="s">
        <v>10</v>
      </c>
      <c r="H10" s="6" t="s">
        <v>11</v>
      </c>
    </row>
    <row r="11" customFormat="false" ht="26.85" hidden="false" customHeight="false" outlineLevel="0" collapsed="false">
      <c r="A11" s="7" t="s">
        <v>12</v>
      </c>
      <c r="B11" s="7" t="n">
        <f aca="false">COUNTIF('Ayat Pain'!$E$2:$E$170,A11)</f>
        <v>19</v>
      </c>
      <c r="C11" s="8" t="n">
        <f aca="false">IF($B$4=0,0,B11/$B$4)</f>
        <v>0.112426035502959</v>
      </c>
      <c r="D11" s="7" t="n">
        <f aca="false">COUNTIFS('Ayat Pain'!$E$2:$E$170,$A11,'Ayat Pain'!$B$2:$B$170,"Threads")</f>
        <v>6</v>
      </c>
      <c r="E11" s="7" t="n">
        <f aca="false">COUNTIFS('Ayat Pain'!$E$2:$E$170,$A11,'Ayat Pain'!$B$2:$B$170,"TikTok")</f>
        <v>4</v>
      </c>
      <c r="F11" s="7" t="n">
        <f aca="false">COUNTIFS('Ayat Pain'!$E$2:$E$170,$A11,'Ayat Pain'!$B$2:$B$170,"Lowyat")</f>
        <v>9</v>
      </c>
      <c r="G11" s="7" t="n">
        <f aca="false">COUNTIFS('Ayat Pain'!$E$2:$E$170,$A11,'Ayat Pain'!$H$2:$H$170,"Ya")</f>
        <v>3</v>
      </c>
      <c r="H11" s="7" t="s">
        <v>13</v>
      </c>
    </row>
    <row r="12" customFormat="false" ht="26.85" hidden="false" customHeight="false" outlineLevel="0" collapsed="false">
      <c r="A12" s="7" t="s">
        <v>14</v>
      </c>
      <c r="B12" s="7" t="n">
        <f aca="false">COUNTIF('Ayat Pain'!$E$2:$E$170,A12)</f>
        <v>19</v>
      </c>
      <c r="C12" s="8" t="n">
        <f aca="false">IF($B$4=0,0,B12/$B$4)</f>
        <v>0.112426035502959</v>
      </c>
      <c r="D12" s="7" t="n">
        <f aca="false">COUNTIFS('Ayat Pain'!$E$2:$E$170,$A12,'Ayat Pain'!$B$2:$B$170,"Threads")</f>
        <v>2</v>
      </c>
      <c r="E12" s="7" t="n">
        <f aca="false">COUNTIFS('Ayat Pain'!$E$2:$E$170,$A12,'Ayat Pain'!$B$2:$B$170,"TikTok")</f>
        <v>6</v>
      </c>
      <c r="F12" s="7" t="n">
        <f aca="false">COUNTIFS('Ayat Pain'!$E$2:$E$170,$A12,'Ayat Pain'!$B$2:$B$170,"Lowyat")</f>
        <v>11</v>
      </c>
      <c r="G12" s="7" t="n">
        <f aca="false">COUNTIFS('Ayat Pain'!$E$2:$E$170,$A12,'Ayat Pain'!$H$2:$H$170,"Ya")</f>
        <v>3</v>
      </c>
      <c r="H12" s="7" t="s">
        <v>15</v>
      </c>
    </row>
    <row r="13" customFormat="false" ht="26.85" hidden="false" customHeight="false" outlineLevel="0" collapsed="false">
      <c r="A13" s="7" t="s">
        <v>16</v>
      </c>
      <c r="B13" s="7" t="n">
        <f aca="false">COUNTIF('Ayat Pain'!$E$2:$E$170,A13)</f>
        <v>18</v>
      </c>
      <c r="C13" s="8" t="n">
        <f aca="false">IF($B$4=0,0,B13/$B$4)</f>
        <v>0.106508875739645</v>
      </c>
      <c r="D13" s="7" t="n">
        <f aca="false">COUNTIFS('Ayat Pain'!$E$2:$E$170,$A13,'Ayat Pain'!$B$2:$B$170,"Threads")</f>
        <v>4</v>
      </c>
      <c r="E13" s="7" t="n">
        <f aca="false">COUNTIFS('Ayat Pain'!$E$2:$E$170,$A13,'Ayat Pain'!$B$2:$B$170,"TikTok")</f>
        <v>8</v>
      </c>
      <c r="F13" s="7" t="n">
        <f aca="false">COUNTIFS('Ayat Pain'!$E$2:$E$170,$A13,'Ayat Pain'!$B$2:$B$170,"Lowyat")</f>
        <v>6</v>
      </c>
      <c r="G13" s="7" t="n">
        <f aca="false">COUNTIFS('Ayat Pain'!$E$2:$E$170,$A13,'Ayat Pain'!$H$2:$H$170,"Ya")</f>
        <v>4</v>
      </c>
      <c r="H13" s="7" t="s">
        <v>17</v>
      </c>
    </row>
    <row r="14" customFormat="false" ht="26.85" hidden="false" customHeight="false" outlineLevel="0" collapsed="false">
      <c r="A14" s="7" t="s">
        <v>18</v>
      </c>
      <c r="B14" s="7" t="n">
        <f aca="false">COUNTIF('Ayat Pain'!$E$2:$E$170,A14)</f>
        <v>15</v>
      </c>
      <c r="C14" s="8" t="n">
        <f aca="false">IF($B$4=0,0,B14/$B$4)</f>
        <v>0.0887573964497041</v>
      </c>
      <c r="D14" s="7" t="n">
        <f aca="false">COUNTIFS('Ayat Pain'!$E$2:$E$170,$A14,'Ayat Pain'!$B$2:$B$170,"Threads")</f>
        <v>4</v>
      </c>
      <c r="E14" s="7" t="n">
        <f aca="false">COUNTIFS('Ayat Pain'!$E$2:$E$170,$A14,'Ayat Pain'!$B$2:$B$170,"TikTok")</f>
        <v>4</v>
      </c>
      <c r="F14" s="7" t="n">
        <f aca="false">COUNTIFS('Ayat Pain'!$E$2:$E$170,$A14,'Ayat Pain'!$B$2:$B$170,"Lowyat")</f>
        <v>7</v>
      </c>
      <c r="G14" s="7" t="n">
        <f aca="false">COUNTIFS('Ayat Pain'!$E$2:$E$170,$A14,'Ayat Pain'!$H$2:$H$170,"Ya")</f>
        <v>0</v>
      </c>
      <c r="H14" s="7" t="s">
        <v>19</v>
      </c>
    </row>
    <row r="15" customFormat="false" ht="26.85" hidden="false" customHeight="false" outlineLevel="0" collapsed="false">
      <c r="A15" s="7" t="s">
        <v>20</v>
      </c>
      <c r="B15" s="7" t="n">
        <f aca="false">COUNTIF('Ayat Pain'!$E$2:$E$170,A15)</f>
        <v>13</v>
      </c>
      <c r="C15" s="8" t="n">
        <f aca="false">IF($B$4=0,0,B15/$B$4)</f>
        <v>0.0769230769230769</v>
      </c>
      <c r="D15" s="7" t="n">
        <f aca="false">COUNTIFS('Ayat Pain'!$E$2:$E$170,$A15,'Ayat Pain'!$B$2:$B$170,"Threads")</f>
        <v>4</v>
      </c>
      <c r="E15" s="7" t="n">
        <f aca="false">COUNTIFS('Ayat Pain'!$E$2:$E$170,$A15,'Ayat Pain'!$B$2:$B$170,"TikTok")</f>
        <v>6</v>
      </c>
      <c r="F15" s="7" t="n">
        <f aca="false">COUNTIFS('Ayat Pain'!$E$2:$E$170,$A15,'Ayat Pain'!$B$2:$B$170,"Lowyat")</f>
        <v>3</v>
      </c>
      <c r="G15" s="7" t="n">
        <f aca="false">COUNTIFS('Ayat Pain'!$E$2:$E$170,$A15,'Ayat Pain'!$H$2:$H$170,"Ya")</f>
        <v>1</v>
      </c>
      <c r="H15" s="7" t="s">
        <v>21</v>
      </c>
    </row>
    <row r="16" customFormat="false" ht="39.55" hidden="false" customHeight="false" outlineLevel="0" collapsed="false">
      <c r="A16" s="7" t="s">
        <v>22</v>
      </c>
      <c r="B16" s="7" t="n">
        <f aca="false">COUNTIF('Ayat Pain'!$E$2:$E$170,A16)</f>
        <v>12</v>
      </c>
      <c r="C16" s="8" t="n">
        <f aca="false">IF($B$4=0,0,B16/$B$4)</f>
        <v>0.0710059171597633</v>
      </c>
      <c r="D16" s="7" t="n">
        <f aca="false">COUNTIFS('Ayat Pain'!$E$2:$E$170,$A16,'Ayat Pain'!$B$2:$B$170,"Threads")</f>
        <v>4</v>
      </c>
      <c r="E16" s="7" t="n">
        <f aca="false">COUNTIFS('Ayat Pain'!$E$2:$E$170,$A16,'Ayat Pain'!$B$2:$B$170,"TikTok")</f>
        <v>6</v>
      </c>
      <c r="F16" s="7" t="n">
        <f aca="false">COUNTIFS('Ayat Pain'!$E$2:$E$170,$A16,'Ayat Pain'!$B$2:$B$170,"Lowyat")</f>
        <v>2</v>
      </c>
      <c r="G16" s="7" t="n">
        <f aca="false">COUNTIFS('Ayat Pain'!$E$2:$E$170,$A16,'Ayat Pain'!$H$2:$H$170,"Ya")</f>
        <v>3</v>
      </c>
      <c r="H16" s="7" t="s">
        <v>23</v>
      </c>
    </row>
    <row r="17" customFormat="false" ht="26.85" hidden="false" customHeight="false" outlineLevel="0" collapsed="false">
      <c r="A17" s="7" t="s">
        <v>24</v>
      </c>
      <c r="B17" s="7" t="n">
        <f aca="false">COUNTIF('Ayat Pain'!$E$2:$E$170,A17)</f>
        <v>12</v>
      </c>
      <c r="C17" s="8" t="n">
        <f aca="false">IF($B$4=0,0,B17/$B$4)</f>
        <v>0.0710059171597633</v>
      </c>
      <c r="D17" s="7" t="n">
        <f aca="false">COUNTIFS('Ayat Pain'!$E$2:$E$170,$A17,'Ayat Pain'!$B$2:$B$170,"Threads")</f>
        <v>1</v>
      </c>
      <c r="E17" s="7" t="n">
        <f aca="false">COUNTIFS('Ayat Pain'!$E$2:$E$170,$A17,'Ayat Pain'!$B$2:$B$170,"TikTok")</f>
        <v>5</v>
      </c>
      <c r="F17" s="7" t="n">
        <f aca="false">COUNTIFS('Ayat Pain'!$E$2:$E$170,$A17,'Ayat Pain'!$B$2:$B$170,"Lowyat")</f>
        <v>6</v>
      </c>
      <c r="G17" s="7" t="n">
        <f aca="false">COUNTIFS('Ayat Pain'!$E$2:$E$170,$A17,'Ayat Pain'!$H$2:$H$170,"Ya")</f>
        <v>5</v>
      </c>
      <c r="H17" s="7" t="s">
        <v>25</v>
      </c>
    </row>
    <row r="18" customFormat="false" ht="26.85" hidden="false" customHeight="false" outlineLevel="0" collapsed="false">
      <c r="A18" s="7" t="s">
        <v>26</v>
      </c>
      <c r="B18" s="7" t="n">
        <f aca="false">COUNTIF('Ayat Pain'!$E$2:$E$170,A18)</f>
        <v>12</v>
      </c>
      <c r="C18" s="8" t="n">
        <f aca="false">IF($B$4=0,0,B18/$B$4)</f>
        <v>0.0710059171597633</v>
      </c>
      <c r="D18" s="7" t="n">
        <f aca="false">COUNTIFS('Ayat Pain'!$E$2:$E$170,$A18,'Ayat Pain'!$B$2:$B$170,"Threads")</f>
        <v>7</v>
      </c>
      <c r="E18" s="7" t="n">
        <f aca="false">COUNTIFS('Ayat Pain'!$E$2:$E$170,$A18,'Ayat Pain'!$B$2:$B$170,"TikTok")</f>
        <v>5</v>
      </c>
      <c r="F18" s="7" t="n">
        <f aca="false">COUNTIFS('Ayat Pain'!$E$2:$E$170,$A18,'Ayat Pain'!$B$2:$B$170,"Lowyat")</f>
        <v>0</v>
      </c>
      <c r="G18" s="7" t="n">
        <f aca="false">COUNTIFS('Ayat Pain'!$E$2:$E$170,$A18,'Ayat Pain'!$H$2:$H$170,"Ya")</f>
        <v>12</v>
      </c>
      <c r="H18" s="7" t="s">
        <v>27</v>
      </c>
    </row>
    <row r="19" customFormat="false" ht="15" hidden="false" customHeight="false" outlineLevel="0" collapsed="false">
      <c r="A19" s="7" t="s">
        <v>28</v>
      </c>
      <c r="B19" s="7" t="n">
        <f aca="false">COUNTIF('Ayat Pain'!$E$2:$E$170,A19)</f>
        <v>9</v>
      </c>
      <c r="C19" s="8" t="n">
        <f aca="false">IF($B$4=0,0,B19/$B$4)</f>
        <v>0.0532544378698225</v>
      </c>
      <c r="D19" s="7" t="n">
        <f aca="false">COUNTIFS('Ayat Pain'!$E$2:$E$170,$A19,'Ayat Pain'!$B$2:$B$170,"Threads")</f>
        <v>4</v>
      </c>
      <c r="E19" s="7" t="n">
        <f aca="false">COUNTIFS('Ayat Pain'!$E$2:$E$170,$A19,'Ayat Pain'!$B$2:$B$170,"TikTok")</f>
        <v>2</v>
      </c>
      <c r="F19" s="7" t="n">
        <f aca="false">COUNTIFS('Ayat Pain'!$E$2:$E$170,$A19,'Ayat Pain'!$B$2:$B$170,"Lowyat")</f>
        <v>3</v>
      </c>
      <c r="G19" s="7" t="n">
        <f aca="false">COUNTIFS('Ayat Pain'!$E$2:$E$170,$A19,'Ayat Pain'!$H$2:$H$170,"Ya")</f>
        <v>0</v>
      </c>
      <c r="H19" s="7" t="s">
        <v>29</v>
      </c>
    </row>
    <row r="20" customFormat="false" ht="26.85" hidden="false" customHeight="false" outlineLevel="0" collapsed="false">
      <c r="A20" s="7" t="s">
        <v>30</v>
      </c>
      <c r="B20" s="7" t="n">
        <f aca="false">COUNTIF('Ayat Pain'!$E$2:$E$170,A20)</f>
        <v>9</v>
      </c>
      <c r="C20" s="8" t="n">
        <f aca="false">IF($B$4=0,0,B20/$B$4)</f>
        <v>0.0532544378698225</v>
      </c>
      <c r="D20" s="7" t="n">
        <f aca="false">COUNTIFS('Ayat Pain'!$E$2:$E$170,$A20,'Ayat Pain'!$B$2:$B$170,"Threads")</f>
        <v>2</v>
      </c>
      <c r="E20" s="7" t="n">
        <f aca="false">COUNTIFS('Ayat Pain'!$E$2:$E$170,$A20,'Ayat Pain'!$B$2:$B$170,"TikTok")</f>
        <v>5</v>
      </c>
      <c r="F20" s="7" t="n">
        <f aca="false">COUNTIFS('Ayat Pain'!$E$2:$E$170,$A20,'Ayat Pain'!$B$2:$B$170,"Lowyat")</f>
        <v>2</v>
      </c>
      <c r="G20" s="7" t="n">
        <f aca="false">COUNTIFS('Ayat Pain'!$E$2:$E$170,$A20,'Ayat Pain'!$H$2:$H$170,"Ya")</f>
        <v>1</v>
      </c>
      <c r="H20" s="7" t="s">
        <v>31</v>
      </c>
    </row>
    <row r="21" customFormat="false" ht="26.85" hidden="false" customHeight="false" outlineLevel="0" collapsed="false">
      <c r="A21" s="7" t="s">
        <v>32</v>
      </c>
      <c r="B21" s="7" t="n">
        <f aca="false">COUNTIF('Ayat Pain'!$E$2:$E$170,A21)</f>
        <v>9</v>
      </c>
      <c r="C21" s="8" t="n">
        <f aca="false">IF($B$4=0,0,B21/$B$4)</f>
        <v>0.0532544378698225</v>
      </c>
      <c r="D21" s="7" t="n">
        <f aca="false">COUNTIFS('Ayat Pain'!$E$2:$E$170,$A21,'Ayat Pain'!$B$2:$B$170,"Threads")</f>
        <v>6</v>
      </c>
      <c r="E21" s="7" t="n">
        <f aca="false">COUNTIFS('Ayat Pain'!$E$2:$E$170,$A21,'Ayat Pain'!$B$2:$B$170,"TikTok")</f>
        <v>3</v>
      </c>
      <c r="F21" s="7" t="n">
        <f aca="false">COUNTIFS('Ayat Pain'!$E$2:$E$170,$A21,'Ayat Pain'!$B$2:$B$170,"Lowyat")</f>
        <v>0</v>
      </c>
      <c r="G21" s="7" t="n">
        <f aca="false">COUNTIFS('Ayat Pain'!$E$2:$E$170,$A21,'Ayat Pain'!$H$2:$H$170,"Ya")</f>
        <v>1</v>
      </c>
      <c r="H21" s="7" t="s">
        <v>33</v>
      </c>
    </row>
    <row r="22" customFormat="false" ht="26.85" hidden="false" customHeight="false" outlineLevel="0" collapsed="false">
      <c r="A22" s="7" t="s">
        <v>34</v>
      </c>
      <c r="B22" s="7" t="n">
        <f aca="false">COUNTIF('Ayat Pain'!$E$2:$E$170,A22)</f>
        <v>7</v>
      </c>
      <c r="C22" s="8" t="n">
        <f aca="false">IF($B$4=0,0,B22/$B$4)</f>
        <v>0.0414201183431953</v>
      </c>
      <c r="D22" s="7" t="n">
        <f aca="false">COUNTIFS('Ayat Pain'!$E$2:$E$170,$A22,'Ayat Pain'!$B$2:$B$170,"Threads")</f>
        <v>0</v>
      </c>
      <c r="E22" s="7" t="n">
        <f aca="false">COUNTIFS('Ayat Pain'!$E$2:$E$170,$A22,'Ayat Pain'!$B$2:$B$170,"TikTok")</f>
        <v>3</v>
      </c>
      <c r="F22" s="7" t="n">
        <f aca="false">COUNTIFS('Ayat Pain'!$E$2:$E$170,$A22,'Ayat Pain'!$B$2:$B$170,"Lowyat")</f>
        <v>4</v>
      </c>
      <c r="G22" s="7" t="n">
        <f aca="false">COUNTIFS('Ayat Pain'!$E$2:$E$170,$A22,'Ayat Pain'!$H$2:$H$170,"Ya")</f>
        <v>3</v>
      </c>
      <c r="H22" s="7" t="s">
        <v>35</v>
      </c>
    </row>
    <row r="23" customFormat="false" ht="26.85" hidden="false" customHeight="false" outlineLevel="0" collapsed="false">
      <c r="A23" s="7" t="s">
        <v>36</v>
      </c>
      <c r="B23" s="7" t="n">
        <f aca="false">COUNTIF('Ayat Pain'!$E$2:$E$170,A23)</f>
        <v>5</v>
      </c>
      <c r="C23" s="8" t="n">
        <f aca="false">IF($B$4=0,0,B23/$B$4)</f>
        <v>0.029585798816568</v>
      </c>
      <c r="D23" s="7" t="n">
        <f aca="false">COUNTIFS('Ayat Pain'!$E$2:$E$170,$A23,'Ayat Pain'!$B$2:$B$170,"Threads")</f>
        <v>3</v>
      </c>
      <c r="E23" s="7" t="n">
        <f aca="false">COUNTIFS('Ayat Pain'!$E$2:$E$170,$A23,'Ayat Pain'!$B$2:$B$170,"TikTok")</f>
        <v>1</v>
      </c>
      <c r="F23" s="7" t="n">
        <f aca="false">COUNTIFS('Ayat Pain'!$E$2:$E$170,$A23,'Ayat Pain'!$B$2:$B$170,"Lowyat")</f>
        <v>1</v>
      </c>
      <c r="G23" s="7" t="n">
        <f aca="false">COUNTIFS('Ayat Pain'!$E$2:$E$170,$A23,'Ayat Pain'!$H$2:$H$170,"Ya")</f>
        <v>2</v>
      </c>
      <c r="H23" s="7" t="s">
        <v>37</v>
      </c>
    </row>
    <row r="24" customFormat="false" ht="15" hidden="false" customHeight="false" outlineLevel="0" collapsed="false">
      <c r="A24" s="7" t="s">
        <v>38</v>
      </c>
      <c r="B24" s="7" t="n">
        <f aca="false">COUNTIF('Ayat Pain'!$E$2:$E$170,A24)</f>
        <v>4</v>
      </c>
      <c r="C24" s="8" t="n">
        <f aca="false">IF($B$4=0,0,B24/$B$4)</f>
        <v>0.0236686390532544</v>
      </c>
      <c r="D24" s="7" t="n">
        <f aca="false">COUNTIFS('Ayat Pain'!$E$2:$E$170,$A24,'Ayat Pain'!$B$2:$B$170,"Threads")</f>
        <v>1</v>
      </c>
      <c r="E24" s="7" t="n">
        <f aca="false">COUNTIFS('Ayat Pain'!$E$2:$E$170,$A24,'Ayat Pain'!$B$2:$B$170,"TikTok")</f>
        <v>2</v>
      </c>
      <c r="F24" s="7" t="n">
        <f aca="false">COUNTIFS('Ayat Pain'!$E$2:$E$170,$A24,'Ayat Pain'!$B$2:$B$170,"Lowyat")</f>
        <v>1</v>
      </c>
      <c r="G24" s="7" t="n">
        <f aca="false">COUNTIFS('Ayat Pain'!$E$2:$E$170,$A24,'Ayat Pain'!$H$2:$H$170,"Ya")</f>
        <v>0</v>
      </c>
      <c r="H24" s="7" t="s">
        <v>39</v>
      </c>
    </row>
    <row r="25" customFormat="false" ht="26.85" hidden="false" customHeight="false" outlineLevel="0" collapsed="false">
      <c r="A25" s="7" t="s">
        <v>40</v>
      </c>
      <c r="B25" s="7" t="n">
        <f aca="false">COUNTIF('Ayat Pain'!$E$2:$E$170,A25)</f>
        <v>4</v>
      </c>
      <c r="C25" s="8" t="n">
        <f aca="false">IF($B$4=0,0,B25/$B$4)</f>
        <v>0.0236686390532544</v>
      </c>
      <c r="D25" s="7" t="n">
        <f aca="false">COUNTIFS('Ayat Pain'!$E$2:$E$170,$A25,'Ayat Pain'!$B$2:$B$170,"Threads")</f>
        <v>1</v>
      </c>
      <c r="E25" s="7" t="n">
        <f aca="false">COUNTIFS('Ayat Pain'!$E$2:$E$170,$A25,'Ayat Pain'!$B$2:$B$170,"TikTok")</f>
        <v>2</v>
      </c>
      <c r="F25" s="7" t="n">
        <f aca="false">COUNTIFS('Ayat Pain'!$E$2:$E$170,$A25,'Ayat Pain'!$B$2:$B$170,"Lowyat")</f>
        <v>1</v>
      </c>
      <c r="G25" s="7" t="n">
        <f aca="false">COUNTIFS('Ayat Pain'!$E$2:$E$170,$A25,'Ayat Pain'!$H$2:$H$170,"Ya")</f>
        <v>0</v>
      </c>
      <c r="H25" s="7" t="s">
        <v>41</v>
      </c>
    </row>
    <row r="26" customFormat="false" ht="15" hidden="false" customHeight="false" outlineLevel="0" collapsed="false">
      <c r="A26" s="7" t="s">
        <v>42</v>
      </c>
      <c r="B26" s="7" t="n">
        <f aca="false">COUNTIF('Ayat Pain'!$E$2:$E$170,A26)</f>
        <v>2</v>
      </c>
      <c r="C26" s="8" t="n">
        <f aca="false">IF($B$4=0,0,B26/$B$4)</f>
        <v>0.0118343195266272</v>
      </c>
      <c r="D26" s="7" t="n">
        <f aca="false">COUNTIFS('Ayat Pain'!$E$2:$E$170,$A26,'Ayat Pain'!$B$2:$B$170,"Threads")</f>
        <v>0</v>
      </c>
      <c r="E26" s="7" t="n">
        <f aca="false">COUNTIFS('Ayat Pain'!$E$2:$E$170,$A26,'Ayat Pain'!$B$2:$B$170,"TikTok")</f>
        <v>0</v>
      </c>
      <c r="F26" s="7" t="n">
        <f aca="false">COUNTIFS('Ayat Pain'!$E$2:$E$170,$A26,'Ayat Pain'!$B$2:$B$170,"Lowyat")</f>
        <v>2</v>
      </c>
      <c r="G26" s="7" t="n">
        <f aca="false">COUNTIFS('Ayat Pain'!$E$2:$E$170,$A26,'Ayat Pain'!$H$2:$H$170,"Ya")</f>
        <v>0</v>
      </c>
      <c r="H26" s="7" t="s">
        <v>43</v>
      </c>
    </row>
    <row r="27" customFormat="false" ht="15" hidden="false" customHeight="false" outlineLevel="0" collapsed="false">
      <c r="A27" s="3" t="s">
        <v>8</v>
      </c>
      <c r="B27" s="3" t="n">
        <f aca="false">SUM(B11:B26)</f>
        <v>169</v>
      </c>
      <c r="D27" s="3" t="n">
        <f aca="false">SUM(D11:D26)</f>
        <v>49</v>
      </c>
      <c r="E27" s="3" t="n">
        <f aca="false">SUM(E11:E26)</f>
        <v>62</v>
      </c>
      <c r="F27" s="3" t="n">
        <f aca="false">SUM(F11:F26)</f>
        <v>58</v>
      </c>
      <c r="G27" s="3" t="n">
        <f aca="false">SUM(G11:G26)</f>
        <v>38</v>
      </c>
    </row>
    <row r="29" customFormat="false" ht="16.15" hidden="false" customHeight="false" outlineLevel="0" collapsed="false">
      <c r="A29" s="4" t="s">
        <v>44</v>
      </c>
    </row>
    <row r="30" customFormat="false" ht="15" hidden="false" customHeight="false" outlineLevel="0" collapsed="false">
      <c r="A30" s="2" t="s">
        <v>45</v>
      </c>
    </row>
    <row r="31" customFormat="false" ht="57.75" hidden="false" customHeight="true" outlineLevel="0" collapsed="false">
      <c r="A31" s="9" t="s">
        <v>46</v>
      </c>
      <c r="B31" s="10" t="s">
        <v>47</v>
      </c>
      <c r="C31" s="10"/>
      <c r="D31" s="10"/>
      <c r="E31" s="10"/>
      <c r="F31" s="10"/>
      <c r="G31" s="10"/>
      <c r="H31" s="10"/>
    </row>
    <row r="32" customFormat="false" ht="57.75" hidden="false" customHeight="true" outlineLevel="0" collapsed="false">
      <c r="A32" s="9" t="s">
        <v>48</v>
      </c>
      <c r="B32" s="10" t="s">
        <v>49</v>
      </c>
      <c r="C32" s="10"/>
      <c r="D32" s="10"/>
      <c r="E32" s="10"/>
      <c r="F32" s="10"/>
      <c r="G32" s="10"/>
      <c r="H32" s="10"/>
    </row>
    <row r="33" customFormat="false" ht="57.75" hidden="false" customHeight="true" outlineLevel="0" collapsed="false">
      <c r="A33" s="9" t="s">
        <v>50</v>
      </c>
      <c r="B33" s="10" t="s">
        <v>51</v>
      </c>
      <c r="C33" s="10"/>
      <c r="D33" s="10"/>
      <c r="E33" s="10"/>
      <c r="F33" s="10"/>
      <c r="G33" s="10"/>
      <c r="H33" s="10"/>
    </row>
    <row r="34" customFormat="false" ht="57.75" hidden="false" customHeight="true" outlineLevel="0" collapsed="false">
      <c r="A34" s="9" t="s">
        <v>52</v>
      </c>
      <c r="B34" s="10" t="s">
        <v>53</v>
      </c>
      <c r="C34" s="10"/>
      <c r="D34" s="10"/>
      <c r="E34" s="10"/>
      <c r="F34" s="10"/>
      <c r="G34" s="10"/>
      <c r="H34" s="10"/>
    </row>
    <row r="35" customFormat="false" ht="57.75" hidden="false" customHeight="true" outlineLevel="0" collapsed="false">
      <c r="A35" s="9" t="s">
        <v>54</v>
      </c>
      <c r="B35" s="10" t="s">
        <v>55</v>
      </c>
      <c r="C35" s="10"/>
      <c r="D35" s="10"/>
      <c r="E35" s="10"/>
      <c r="F35" s="10"/>
      <c r="G35" s="10"/>
      <c r="H35" s="10"/>
    </row>
  </sheetData>
  <mergeCells count="5">
    <mergeCell ref="B31:H31"/>
    <mergeCell ref="B32:H32"/>
    <mergeCell ref="B33:H33"/>
    <mergeCell ref="B34:H34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70"/>
    <col collapsed="false" customWidth="true" hidden="false" outlineLevel="0" max="7" min="7" style="0" width="4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</v>
      </c>
    </row>
    <row r="2" customFormat="false" ht="26.85" hidden="false" customHeight="false" outlineLevel="0" collapsed="false">
      <c r="A2" s="7" t="n">
        <v>1</v>
      </c>
      <c r="B2" s="7" t="s">
        <v>3</v>
      </c>
      <c r="C2" s="7" t="s">
        <v>63</v>
      </c>
      <c r="D2" s="7" t="s">
        <v>64</v>
      </c>
      <c r="E2" s="7" t="s">
        <v>12</v>
      </c>
      <c r="F2" s="7" t="s">
        <v>65</v>
      </c>
      <c r="G2" s="12" t="s">
        <v>66</v>
      </c>
      <c r="H2" s="7"/>
    </row>
    <row r="3" customFormat="false" ht="26.85" hidden="false" customHeight="false" outlineLevel="0" collapsed="false">
      <c r="A3" s="7" t="n">
        <v>2</v>
      </c>
      <c r="B3" s="7" t="s">
        <v>3</v>
      </c>
      <c r="C3" s="7" t="s">
        <v>63</v>
      </c>
      <c r="D3" s="7" t="s">
        <v>67</v>
      </c>
      <c r="E3" s="7" t="s">
        <v>12</v>
      </c>
      <c r="F3" s="7" t="s">
        <v>68</v>
      </c>
      <c r="G3" s="12" t="s">
        <v>69</v>
      </c>
      <c r="H3" s="7"/>
    </row>
    <row r="4" customFormat="false" ht="26.85" hidden="false" customHeight="false" outlineLevel="0" collapsed="false">
      <c r="A4" s="7" t="n">
        <v>3</v>
      </c>
      <c r="B4" s="7" t="s">
        <v>3</v>
      </c>
      <c r="C4" s="7" t="s">
        <v>63</v>
      </c>
      <c r="D4" s="7" t="s">
        <v>70</v>
      </c>
      <c r="E4" s="7" t="s">
        <v>12</v>
      </c>
      <c r="F4" s="7" t="s">
        <v>13</v>
      </c>
      <c r="G4" s="12" t="s">
        <v>71</v>
      </c>
      <c r="H4" s="7"/>
    </row>
    <row r="5" customFormat="false" ht="39.55" hidden="false" customHeight="false" outlineLevel="0" collapsed="false">
      <c r="A5" s="7" t="n">
        <v>4</v>
      </c>
      <c r="B5" s="7" t="s">
        <v>3</v>
      </c>
      <c r="C5" s="7" t="s">
        <v>63</v>
      </c>
      <c r="D5" s="7" t="s">
        <v>72</v>
      </c>
      <c r="E5" s="7" t="s">
        <v>12</v>
      </c>
      <c r="F5" s="7" t="s">
        <v>73</v>
      </c>
      <c r="G5" s="12" t="s">
        <v>74</v>
      </c>
      <c r="H5" s="7"/>
    </row>
    <row r="6" customFormat="false" ht="26.85" hidden="false" customHeight="false" outlineLevel="0" collapsed="false">
      <c r="A6" s="13" t="n">
        <v>5</v>
      </c>
      <c r="B6" s="13" t="s">
        <v>3</v>
      </c>
      <c r="C6" s="13" t="s">
        <v>63</v>
      </c>
      <c r="D6" s="13" t="s">
        <v>75</v>
      </c>
      <c r="E6" s="13" t="s">
        <v>12</v>
      </c>
      <c r="F6" s="13" t="s">
        <v>76</v>
      </c>
      <c r="G6" s="12" t="s">
        <v>77</v>
      </c>
      <c r="H6" s="13" t="s">
        <v>78</v>
      </c>
    </row>
    <row r="7" customFormat="false" ht="26.85" hidden="false" customHeight="false" outlineLevel="0" collapsed="false">
      <c r="A7" s="13" t="n">
        <v>6</v>
      </c>
      <c r="B7" s="13" t="s">
        <v>3</v>
      </c>
      <c r="C7" s="13" t="s">
        <v>63</v>
      </c>
      <c r="D7" s="13" t="s">
        <v>79</v>
      </c>
      <c r="E7" s="13" t="s">
        <v>12</v>
      </c>
      <c r="F7" s="13" t="s">
        <v>80</v>
      </c>
      <c r="G7" s="12" t="s">
        <v>81</v>
      </c>
      <c r="H7" s="13" t="s">
        <v>78</v>
      </c>
    </row>
    <row r="8" customFormat="false" ht="26.85" hidden="false" customHeight="false" outlineLevel="0" collapsed="false">
      <c r="A8" s="13" t="n">
        <v>7</v>
      </c>
      <c r="B8" s="13" t="s">
        <v>4</v>
      </c>
      <c r="C8" s="13" t="s">
        <v>82</v>
      </c>
      <c r="D8" s="13" t="s">
        <v>83</v>
      </c>
      <c r="E8" s="13" t="s">
        <v>12</v>
      </c>
      <c r="F8" s="13" t="s">
        <v>84</v>
      </c>
      <c r="G8" s="12" t="s">
        <v>85</v>
      </c>
      <c r="H8" s="13" t="s">
        <v>78</v>
      </c>
    </row>
    <row r="9" customFormat="false" ht="26.85" hidden="false" customHeight="false" outlineLevel="0" collapsed="false">
      <c r="A9" s="7" t="n">
        <v>8</v>
      </c>
      <c r="B9" s="7" t="s">
        <v>4</v>
      </c>
      <c r="C9" s="7" t="s">
        <v>82</v>
      </c>
      <c r="D9" s="7" t="s">
        <v>86</v>
      </c>
      <c r="E9" s="7" t="s">
        <v>12</v>
      </c>
      <c r="F9" s="7" t="s">
        <v>87</v>
      </c>
      <c r="G9" s="12" t="s">
        <v>88</v>
      </c>
      <c r="H9" s="7"/>
    </row>
    <row r="10" customFormat="false" ht="26.85" hidden="false" customHeight="false" outlineLevel="0" collapsed="false">
      <c r="A10" s="7" t="n">
        <v>9</v>
      </c>
      <c r="B10" s="7" t="s">
        <v>4</v>
      </c>
      <c r="C10" s="7" t="s">
        <v>82</v>
      </c>
      <c r="D10" s="7" t="s">
        <v>89</v>
      </c>
      <c r="E10" s="7" t="s">
        <v>12</v>
      </c>
      <c r="F10" s="7" t="s">
        <v>90</v>
      </c>
      <c r="G10" s="12" t="s">
        <v>91</v>
      </c>
      <c r="H10" s="7"/>
    </row>
    <row r="11" customFormat="false" ht="26.85" hidden="false" customHeight="false" outlineLevel="0" collapsed="false">
      <c r="A11" s="7" t="n">
        <v>10</v>
      </c>
      <c r="B11" s="7" t="s">
        <v>4</v>
      </c>
      <c r="C11" s="7" t="s">
        <v>82</v>
      </c>
      <c r="D11" s="7" t="s">
        <v>92</v>
      </c>
      <c r="E11" s="7" t="s">
        <v>12</v>
      </c>
      <c r="F11" s="7" t="s">
        <v>93</v>
      </c>
      <c r="G11" s="12" t="s">
        <v>91</v>
      </c>
      <c r="H11" s="7"/>
    </row>
    <row r="12" customFormat="false" ht="26.85" hidden="false" customHeight="false" outlineLevel="0" collapsed="false">
      <c r="A12" s="7" t="n">
        <v>11</v>
      </c>
      <c r="B12" s="7" t="s">
        <v>5</v>
      </c>
      <c r="C12" s="7" t="s">
        <v>94</v>
      </c>
      <c r="D12" s="7" t="s">
        <v>95</v>
      </c>
      <c r="E12" s="7" t="s">
        <v>12</v>
      </c>
      <c r="F12" s="7" t="s">
        <v>96</v>
      </c>
      <c r="G12" s="12" t="s">
        <v>97</v>
      </c>
      <c r="H12" s="7"/>
    </row>
    <row r="13" customFormat="false" ht="26.85" hidden="false" customHeight="false" outlineLevel="0" collapsed="false">
      <c r="A13" s="7" t="n">
        <v>12</v>
      </c>
      <c r="B13" s="7" t="s">
        <v>5</v>
      </c>
      <c r="C13" s="7" t="s">
        <v>94</v>
      </c>
      <c r="D13" s="7" t="s">
        <v>98</v>
      </c>
      <c r="E13" s="7" t="s">
        <v>12</v>
      </c>
      <c r="F13" s="7" t="s">
        <v>99</v>
      </c>
      <c r="G13" s="12" t="s">
        <v>100</v>
      </c>
      <c r="H13" s="7"/>
    </row>
    <row r="14" customFormat="false" ht="26.85" hidden="false" customHeight="false" outlineLevel="0" collapsed="false">
      <c r="A14" s="7" t="n">
        <v>13</v>
      </c>
      <c r="B14" s="7" t="s">
        <v>5</v>
      </c>
      <c r="C14" s="7" t="s">
        <v>94</v>
      </c>
      <c r="D14" s="7" t="s">
        <v>101</v>
      </c>
      <c r="E14" s="7" t="s">
        <v>12</v>
      </c>
      <c r="F14" s="7" t="s">
        <v>102</v>
      </c>
      <c r="G14" s="12" t="s">
        <v>103</v>
      </c>
      <c r="H14" s="7"/>
    </row>
    <row r="15" customFormat="false" ht="26.85" hidden="false" customHeight="false" outlineLevel="0" collapsed="false">
      <c r="A15" s="7" t="n">
        <v>14</v>
      </c>
      <c r="B15" s="7" t="s">
        <v>5</v>
      </c>
      <c r="C15" s="7" t="s">
        <v>94</v>
      </c>
      <c r="D15" s="7" t="s">
        <v>104</v>
      </c>
      <c r="E15" s="7" t="s">
        <v>12</v>
      </c>
      <c r="F15" s="7" t="s">
        <v>105</v>
      </c>
      <c r="G15" s="12" t="s">
        <v>106</v>
      </c>
      <c r="H15" s="7"/>
    </row>
    <row r="16" customFormat="false" ht="26.85" hidden="false" customHeight="false" outlineLevel="0" collapsed="false">
      <c r="A16" s="7" t="n">
        <v>15</v>
      </c>
      <c r="B16" s="7" t="s">
        <v>5</v>
      </c>
      <c r="C16" s="7" t="s">
        <v>94</v>
      </c>
      <c r="D16" s="7" t="s">
        <v>107</v>
      </c>
      <c r="E16" s="7" t="s">
        <v>12</v>
      </c>
      <c r="F16" s="7" t="s">
        <v>108</v>
      </c>
      <c r="G16" s="12" t="s">
        <v>109</v>
      </c>
      <c r="H16" s="7"/>
    </row>
    <row r="17" customFormat="false" ht="26.85" hidden="false" customHeight="false" outlineLevel="0" collapsed="false">
      <c r="A17" s="7" t="n">
        <v>16</v>
      </c>
      <c r="B17" s="7" t="s">
        <v>5</v>
      </c>
      <c r="C17" s="7" t="s">
        <v>94</v>
      </c>
      <c r="D17" s="7" t="s">
        <v>110</v>
      </c>
      <c r="E17" s="7" t="s">
        <v>12</v>
      </c>
      <c r="F17" s="7" t="s">
        <v>111</v>
      </c>
      <c r="G17" s="12" t="s">
        <v>112</v>
      </c>
      <c r="H17" s="7"/>
    </row>
    <row r="18" customFormat="false" ht="26.85" hidden="false" customHeight="false" outlineLevel="0" collapsed="false">
      <c r="A18" s="7" t="n">
        <v>17</v>
      </c>
      <c r="B18" s="7" t="s">
        <v>5</v>
      </c>
      <c r="C18" s="7" t="s">
        <v>94</v>
      </c>
      <c r="D18" s="7" t="s">
        <v>113</v>
      </c>
      <c r="E18" s="7" t="s">
        <v>12</v>
      </c>
      <c r="F18" s="7" t="s">
        <v>114</v>
      </c>
      <c r="G18" s="12" t="s">
        <v>115</v>
      </c>
      <c r="H18" s="7"/>
    </row>
    <row r="19" customFormat="false" ht="26.85" hidden="false" customHeight="false" outlineLevel="0" collapsed="false">
      <c r="A19" s="7" t="n">
        <v>18</v>
      </c>
      <c r="B19" s="7" t="s">
        <v>5</v>
      </c>
      <c r="C19" s="7" t="s">
        <v>94</v>
      </c>
      <c r="D19" s="7" t="s">
        <v>116</v>
      </c>
      <c r="E19" s="7" t="s">
        <v>12</v>
      </c>
      <c r="F19" s="7" t="s">
        <v>117</v>
      </c>
      <c r="G19" s="12" t="s">
        <v>118</v>
      </c>
      <c r="H19" s="7"/>
    </row>
    <row r="20" customFormat="false" ht="26.85" hidden="false" customHeight="false" outlineLevel="0" collapsed="false">
      <c r="A20" s="7" t="n">
        <v>19</v>
      </c>
      <c r="B20" s="7" t="s">
        <v>5</v>
      </c>
      <c r="C20" s="7" t="s">
        <v>94</v>
      </c>
      <c r="D20" s="7" t="s">
        <v>119</v>
      </c>
      <c r="E20" s="7" t="s">
        <v>12</v>
      </c>
      <c r="F20" s="7" t="s">
        <v>120</v>
      </c>
      <c r="G20" s="12" t="s">
        <v>118</v>
      </c>
      <c r="H20" s="7"/>
    </row>
    <row r="21" customFormat="false" ht="26.85" hidden="false" customHeight="false" outlineLevel="0" collapsed="false">
      <c r="A21" s="7" t="n">
        <v>20</v>
      </c>
      <c r="B21" s="7" t="s">
        <v>3</v>
      </c>
      <c r="C21" s="7" t="s">
        <v>63</v>
      </c>
      <c r="D21" s="7" t="s">
        <v>121</v>
      </c>
      <c r="E21" s="7" t="s">
        <v>14</v>
      </c>
      <c r="F21" s="7" t="s">
        <v>122</v>
      </c>
      <c r="G21" s="12" t="s">
        <v>123</v>
      </c>
      <c r="H21" s="7"/>
    </row>
    <row r="22" customFormat="false" ht="26.85" hidden="false" customHeight="false" outlineLevel="0" collapsed="false">
      <c r="A22" s="7" t="n">
        <v>21</v>
      </c>
      <c r="B22" s="7" t="s">
        <v>3</v>
      </c>
      <c r="C22" s="7" t="s">
        <v>63</v>
      </c>
      <c r="D22" s="7" t="s">
        <v>124</v>
      </c>
      <c r="E22" s="7" t="s">
        <v>14</v>
      </c>
      <c r="F22" s="7" t="s">
        <v>125</v>
      </c>
      <c r="G22" s="12" t="s">
        <v>126</v>
      </c>
      <c r="H22" s="7"/>
    </row>
    <row r="23" customFormat="false" ht="26.85" hidden="false" customHeight="false" outlineLevel="0" collapsed="false">
      <c r="A23" s="13" t="n">
        <v>22</v>
      </c>
      <c r="B23" s="13" t="s">
        <v>4</v>
      </c>
      <c r="C23" s="13" t="s">
        <v>82</v>
      </c>
      <c r="D23" s="13" t="s">
        <v>127</v>
      </c>
      <c r="E23" s="13" t="s">
        <v>14</v>
      </c>
      <c r="F23" s="13" t="s">
        <v>128</v>
      </c>
      <c r="G23" s="12" t="s">
        <v>129</v>
      </c>
      <c r="H23" s="13" t="s">
        <v>78</v>
      </c>
    </row>
    <row r="24" customFormat="false" ht="26.85" hidden="false" customHeight="false" outlineLevel="0" collapsed="false">
      <c r="A24" s="13" t="n">
        <v>23</v>
      </c>
      <c r="B24" s="13" t="s">
        <v>4</v>
      </c>
      <c r="C24" s="13" t="s">
        <v>82</v>
      </c>
      <c r="D24" s="13" t="s">
        <v>130</v>
      </c>
      <c r="E24" s="13" t="s">
        <v>14</v>
      </c>
      <c r="F24" s="13" t="s">
        <v>131</v>
      </c>
      <c r="G24" s="12" t="s">
        <v>85</v>
      </c>
      <c r="H24" s="13" t="s">
        <v>78</v>
      </c>
    </row>
    <row r="25" customFormat="false" ht="26.85" hidden="false" customHeight="false" outlineLevel="0" collapsed="false">
      <c r="A25" s="13" t="n">
        <v>24</v>
      </c>
      <c r="B25" s="13" t="s">
        <v>4</v>
      </c>
      <c r="C25" s="13" t="s">
        <v>82</v>
      </c>
      <c r="D25" s="13" t="s">
        <v>132</v>
      </c>
      <c r="E25" s="13" t="s">
        <v>14</v>
      </c>
      <c r="F25" s="13" t="s">
        <v>133</v>
      </c>
      <c r="G25" s="12" t="s">
        <v>85</v>
      </c>
      <c r="H25" s="13" t="s">
        <v>78</v>
      </c>
    </row>
    <row r="26" customFormat="false" ht="26.85" hidden="false" customHeight="false" outlineLevel="0" collapsed="false">
      <c r="A26" s="7" t="n">
        <v>25</v>
      </c>
      <c r="B26" s="7" t="s">
        <v>4</v>
      </c>
      <c r="C26" s="7" t="s">
        <v>82</v>
      </c>
      <c r="D26" s="7" t="s">
        <v>134</v>
      </c>
      <c r="E26" s="7" t="s">
        <v>14</v>
      </c>
      <c r="F26" s="7" t="s">
        <v>15</v>
      </c>
      <c r="G26" s="12" t="s">
        <v>135</v>
      </c>
      <c r="H26" s="7"/>
    </row>
    <row r="27" customFormat="false" ht="26.85" hidden="false" customHeight="false" outlineLevel="0" collapsed="false">
      <c r="A27" s="7" t="n">
        <v>26</v>
      </c>
      <c r="B27" s="7" t="s">
        <v>4</v>
      </c>
      <c r="C27" s="7" t="s">
        <v>82</v>
      </c>
      <c r="D27" s="7" t="s">
        <v>89</v>
      </c>
      <c r="E27" s="7" t="s">
        <v>14</v>
      </c>
      <c r="F27" s="7" t="s">
        <v>136</v>
      </c>
      <c r="G27" s="12" t="s">
        <v>137</v>
      </c>
      <c r="H27" s="7"/>
    </row>
    <row r="28" customFormat="false" ht="26.85" hidden="false" customHeight="false" outlineLevel="0" collapsed="false">
      <c r="A28" s="7" t="n">
        <v>27</v>
      </c>
      <c r="B28" s="7" t="s">
        <v>4</v>
      </c>
      <c r="C28" s="7" t="s">
        <v>82</v>
      </c>
      <c r="D28" s="7" t="s">
        <v>138</v>
      </c>
      <c r="E28" s="7" t="s">
        <v>14</v>
      </c>
      <c r="F28" s="7" t="s">
        <v>139</v>
      </c>
      <c r="G28" s="12" t="s">
        <v>140</v>
      </c>
      <c r="H28" s="7"/>
    </row>
    <row r="29" customFormat="false" ht="26.85" hidden="false" customHeight="false" outlineLevel="0" collapsed="false">
      <c r="A29" s="7" t="n">
        <v>28</v>
      </c>
      <c r="B29" s="7" t="s">
        <v>5</v>
      </c>
      <c r="C29" s="7" t="s">
        <v>94</v>
      </c>
      <c r="D29" s="7" t="s">
        <v>141</v>
      </c>
      <c r="E29" s="7" t="s">
        <v>14</v>
      </c>
      <c r="F29" s="7" t="s">
        <v>142</v>
      </c>
      <c r="G29" s="12" t="s">
        <v>100</v>
      </c>
      <c r="H29" s="7"/>
    </row>
    <row r="30" customFormat="false" ht="26.85" hidden="false" customHeight="false" outlineLevel="0" collapsed="false">
      <c r="A30" s="7" t="n">
        <v>29</v>
      </c>
      <c r="B30" s="7" t="s">
        <v>5</v>
      </c>
      <c r="C30" s="7" t="s">
        <v>94</v>
      </c>
      <c r="D30" s="7" t="s">
        <v>143</v>
      </c>
      <c r="E30" s="7" t="s">
        <v>14</v>
      </c>
      <c r="F30" s="7" t="s">
        <v>144</v>
      </c>
      <c r="G30" s="12" t="s">
        <v>100</v>
      </c>
      <c r="H30" s="7"/>
    </row>
    <row r="31" customFormat="false" ht="26.85" hidden="false" customHeight="false" outlineLevel="0" collapsed="false">
      <c r="A31" s="7" t="n">
        <v>30</v>
      </c>
      <c r="B31" s="7" t="s">
        <v>5</v>
      </c>
      <c r="C31" s="7" t="s">
        <v>94</v>
      </c>
      <c r="D31" s="7" t="s">
        <v>143</v>
      </c>
      <c r="E31" s="7" t="s">
        <v>14</v>
      </c>
      <c r="F31" s="7" t="s">
        <v>145</v>
      </c>
      <c r="G31" s="12" t="s">
        <v>100</v>
      </c>
      <c r="H31" s="7"/>
    </row>
    <row r="32" customFormat="false" ht="26.85" hidden="false" customHeight="false" outlineLevel="0" collapsed="false">
      <c r="A32" s="7" t="n">
        <v>31</v>
      </c>
      <c r="B32" s="7" t="s">
        <v>5</v>
      </c>
      <c r="C32" s="7" t="s">
        <v>94</v>
      </c>
      <c r="D32" s="7" t="s">
        <v>146</v>
      </c>
      <c r="E32" s="7" t="s">
        <v>14</v>
      </c>
      <c r="F32" s="7" t="s">
        <v>147</v>
      </c>
      <c r="G32" s="12" t="s">
        <v>106</v>
      </c>
      <c r="H32" s="7"/>
    </row>
    <row r="33" customFormat="false" ht="39.55" hidden="false" customHeight="false" outlineLevel="0" collapsed="false">
      <c r="A33" s="7" t="n">
        <v>32</v>
      </c>
      <c r="B33" s="7" t="s">
        <v>5</v>
      </c>
      <c r="C33" s="7" t="s">
        <v>94</v>
      </c>
      <c r="D33" s="7" t="s">
        <v>148</v>
      </c>
      <c r="E33" s="7" t="s">
        <v>14</v>
      </c>
      <c r="F33" s="7" t="s">
        <v>149</v>
      </c>
      <c r="G33" s="12" t="s">
        <v>109</v>
      </c>
      <c r="H33" s="7"/>
    </row>
    <row r="34" customFormat="false" ht="26.85" hidden="false" customHeight="false" outlineLevel="0" collapsed="false">
      <c r="A34" s="7" t="n">
        <v>33</v>
      </c>
      <c r="B34" s="7" t="s">
        <v>5</v>
      </c>
      <c r="C34" s="7" t="s">
        <v>94</v>
      </c>
      <c r="D34" s="7" t="s">
        <v>150</v>
      </c>
      <c r="E34" s="7" t="s">
        <v>14</v>
      </c>
      <c r="F34" s="7" t="s">
        <v>151</v>
      </c>
      <c r="G34" s="12" t="s">
        <v>109</v>
      </c>
      <c r="H34" s="7"/>
    </row>
    <row r="35" customFormat="false" ht="26.85" hidden="false" customHeight="false" outlineLevel="0" collapsed="false">
      <c r="A35" s="7" t="n">
        <v>34</v>
      </c>
      <c r="B35" s="7" t="s">
        <v>5</v>
      </c>
      <c r="C35" s="7" t="s">
        <v>94</v>
      </c>
      <c r="D35" s="7" t="s">
        <v>152</v>
      </c>
      <c r="E35" s="7" t="s">
        <v>14</v>
      </c>
      <c r="F35" s="7" t="s">
        <v>153</v>
      </c>
      <c r="G35" s="12" t="s">
        <v>109</v>
      </c>
      <c r="H35" s="7"/>
    </row>
    <row r="36" customFormat="false" ht="26.85" hidden="false" customHeight="false" outlineLevel="0" collapsed="false">
      <c r="A36" s="7" t="n">
        <v>35</v>
      </c>
      <c r="B36" s="7" t="s">
        <v>5</v>
      </c>
      <c r="C36" s="7" t="s">
        <v>94</v>
      </c>
      <c r="D36" s="7" t="s">
        <v>154</v>
      </c>
      <c r="E36" s="7" t="s">
        <v>14</v>
      </c>
      <c r="F36" s="7" t="s">
        <v>155</v>
      </c>
      <c r="G36" s="12" t="s">
        <v>112</v>
      </c>
      <c r="H36" s="7"/>
    </row>
    <row r="37" customFormat="false" ht="26.85" hidden="false" customHeight="false" outlineLevel="0" collapsed="false">
      <c r="A37" s="7" t="n">
        <v>36</v>
      </c>
      <c r="B37" s="7" t="s">
        <v>5</v>
      </c>
      <c r="C37" s="7" t="s">
        <v>94</v>
      </c>
      <c r="D37" s="7" t="s">
        <v>156</v>
      </c>
      <c r="E37" s="7" t="s">
        <v>14</v>
      </c>
      <c r="F37" s="7" t="s">
        <v>157</v>
      </c>
      <c r="G37" s="12" t="s">
        <v>115</v>
      </c>
      <c r="H37" s="7"/>
    </row>
    <row r="38" customFormat="false" ht="26.85" hidden="false" customHeight="false" outlineLevel="0" collapsed="false">
      <c r="A38" s="7" t="n">
        <v>37</v>
      </c>
      <c r="B38" s="7" t="s">
        <v>5</v>
      </c>
      <c r="C38" s="7" t="s">
        <v>94</v>
      </c>
      <c r="D38" s="7" t="s">
        <v>156</v>
      </c>
      <c r="E38" s="7" t="s">
        <v>14</v>
      </c>
      <c r="F38" s="7" t="s">
        <v>158</v>
      </c>
      <c r="G38" s="12" t="s">
        <v>115</v>
      </c>
      <c r="H38" s="7"/>
    </row>
    <row r="39" customFormat="false" ht="26.85" hidden="false" customHeight="false" outlineLevel="0" collapsed="false">
      <c r="A39" s="7" t="n">
        <v>38</v>
      </c>
      <c r="B39" s="7" t="s">
        <v>5</v>
      </c>
      <c r="C39" s="7" t="s">
        <v>94</v>
      </c>
      <c r="D39" s="7" t="s">
        <v>67</v>
      </c>
      <c r="E39" s="7" t="s">
        <v>14</v>
      </c>
      <c r="F39" s="7" t="s">
        <v>159</v>
      </c>
      <c r="G39" s="12" t="s">
        <v>118</v>
      </c>
      <c r="H39" s="7"/>
    </row>
    <row r="40" customFormat="false" ht="26.85" hidden="false" customHeight="false" outlineLevel="0" collapsed="false">
      <c r="A40" s="7" t="n">
        <v>39</v>
      </c>
      <c r="B40" s="7" t="s">
        <v>3</v>
      </c>
      <c r="C40" s="7" t="s">
        <v>63</v>
      </c>
      <c r="D40" s="7" t="s">
        <v>160</v>
      </c>
      <c r="E40" s="7" t="s">
        <v>16</v>
      </c>
      <c r="F40" s="7" t="s">
        <v>161</v>
      </c>
      <c r="G40" s="12" t="s">
        <v>162</v>
      </c>
      <c r="H40" s="7"/>
    </row>
    <row r="41" customFormat="false" ht="26.85" hidden="false" customHeight="false" outlineLevel="0" collapsed="false">
      <c r="A41" s="13" t="n">
        <v>40</v>
      </c>
      <c r="B41" s="13" t="s">
        <v>3</v>
      </c>
      <c r="C41" s="13" t="s">
        <v>63</v>
      </c>
      <c r="D41" s="13" t="s">
        <v>163</v>
      </c>
      <c r="E41" s="13" t="s">
        <v>16</v>
      </c>
      <c r="F41" s="13" t="s">
        <v>164</v>
      </c>
      <c r="G41" s="12" t="s">
        <v>165</v>
      </c>
      <c r="H41" s="13" t="s">
        <v>78</v>
      </c>
    </row>
    <row r="42" customFormat="false" ht="26.85" hidden="false" customHeight="false" outlineLevel="0" collapsed="false">
      <c r="A42" s="13" t="n">
        <v>41</v>
      </c>
      <c r="B42" s="13" t="s">
        <v>3</v>
      </c>
      <c r="C42" s="13" t="s">
        <v>166</v>
      </c>
      <c r="D42" s="13" t="s">
        <v>163</v>
      </c>
      <c r="E42" s="13" t="s">
        <v>16</v>
      </c>
      <c r="F42" s="13" t="s">
        <v>167</v>
      </c>
      <c r="G42" s="12" t="s">
        <v>168</v>
      </c>
      <c r="H42" s="13" t="s">
        <v>78</v>
      </c>
    </row>
    <row r="43" customFormat="false" ht="39.55" hidden="false" customHeight="false" outlineLevel="0" collapsed="false">
      <c r="A43" s="7" t="n">
        <v>42</v>
      </c>
      <c r="B43" s="7" t="s">
        <v>3</v>
      </c>
      <c r="C43" s="7" t="s">
        <v>63</v>
      </c>
      <c r="D43" s="7" t="s">
        <v>169</v>
      </c>
      <c r="E43" s="7" t="s">
        <v>16</v>
      </c>
      <c r="F43" s="7" t="s">
        <v>170</v>
      </c>
      <c r="G43" s="12" t="s">
        <v>171</v>
      </c>
      <c r="H43" s="7"/>
    </row>
    <row r="44" customFormat="false" ht="26.85" hidden="false" customHeight="false" outlineLevel="0" collapsed="false">
      <c r="A44" s="7" t="n">
        <v>43</v>
      </c>
      <c r="B44" s="7" t="s">
        <v>4</v>
      </c>
      <c r="C44" s="7" t="s">
        <v>82</v>
      </c>
      <c r="D44" s="7" t="s">
        <v>172</v>
      </c>
      <c r="E44" s="7" t="s">
        <v>16</v>
      </c>
      <c r="F44" s="7" t="s">
        <v>173</v>
      </c>
      <c r="G44" s="12" t="s">
        <v>174</v>
      </c>
      <c r="H44" s="7"/>
    </row>
    <row r="45" customFormat="false" ht="26.85" hidden="false" customHeight="false" outlineLevel="0" collapsed="false">
      <c r="A45" s="13" t="n">
        <v>44</v>
      </c>
      <c r="B45" s="13" t="s">
        <v>4</v>
      </c>
      <c r="C45" s="13" t="s">
        <v>82</v>
      </c>
      <c r="D45" s="13" t="s">
        <v>175</v>
      </c>
      <c r="E45" s="13" t="s">
        <v>16</v>
      </c>
      <c r="F45" s="13" t="s">
        <v>176</v>
      </c>
      <c r="G45" s="12" t="s">
        <v>85</v>
      </c>
      <c r="H45" s="13" t="s">
        <v>78</v>
      </c>
    </row>
    <row r="46" customFormat="false" ht="26.85" hidden="false" customHeight="false" outlineLevel="0" collapsed="false">
      <c r="A46" s="13" t="n">
        <v>45</v>
      </c>
      <c r="B46" s="13" t="s">
        <v>4</v>
      </c>
      <c r="C46" s="13" t="s">
        <v>82</v>
      </c>
      <c r="D46" s="13" t="s">
        <v>177</v>
      </c>
      <c r="E46" s="13" t="s">
        <v>16</v>
      </c>
      <c r="F46" s="13" t="s">
        <v>17</v>
      </c>
      <c r="G46" s="12" t="s">
        <v>85</v>
      </c>
      <c r="H46" s="13" t="s">
        <v>78</v>
      </c>
    </row>
    <row r="47" customFormat="false" ht="26.85" hidden="false" customHeight="false" outlineLevel="0" collapsed="false">
      <c r="A47" s="7" t="n">
        <v>46</v>
      </c>
      <c r="B47" s="7" t="s">
        <v>4</v>
      </c>
      <c r="C47" s="7" t="s">
        <v>82</v>
      </c>
      <c r="D47" s="7" t="s">
        <v>178</v>
      </c>
      <c r="E47" s="7" t="s">
        <v>16</v>
      </c>
      <c r="F47" s="7" t="s">
        <v>179</v>
      </c>
      <c r="G47" s="12" t="s">
        <v>174</v>
      </c>
      <c r="H47" s="7"/>
    </row>
    <row r="48" customFormat="false" ht="26.85" hidden="false" customHeight="false" outlineLevel="0" collapsed="false">
      <c r="A48" s="7" t="n">
        <v>47</v>
      </c>
      <c r="B48" s="7" t="s">
        <v>4</v>
      </c>
      <c r="C48" s="7" t="s">
        <v>82</v>
      </c>
      <c r="D48" s="7" t="s">
        <v>180</v>
      </c>
      <c r="E48" s="7" t="s">
        <v>16</v>
      </c>
      <c r="F48" s="7" t="s">
        <v>181</v>
      </c>
      <c r="G48" s="12" t="s">
        <v>182</v>
      </c>
      <c r="H48" s="7"/>
    </row>
    <row r="49" customFormat="false" ht="26.85" hidden="false" customHeight="false" outlineLevel="0" collapsed="false">
      <c r="A49" s="7" t="n">
        <v>48</v>
      </c>
      <c r="B49" s="7" t="s">
        <v>4</v>
      </c>
      <c r="C49" s="7" t="s">
        <v>82</v>
      </c>
      <c r="D49" s="7" t="s">
        <v>183</v>
      </c>
      <c r="E49" s="7" t="s">
        <v>16</v>
      </c>
      <c r="F49" s="7" t="s">
        <v>184</v>
      </c>
      <c r="G49" s="12" t="s">
        <v>185</v>
      </c>
      <c r="H49" s="7"/>
    </row>
    <row r="50" customFormat="false" ht="26.85" hidden="false" customHeight="false" outlineLevel="0" collapsed="false">
      <c r="A50" s="7" t="n">
        <v>49</v>
      </c>
      <c r="B50" s="7" t="s">
        <v>4</v>
      </c>
      <c r="C50" s="7" t="s">
        <v>82</v>
      </c>
      <c r="D50" s="7" t="s">
        <v>186</v>
      </c>
      <c r="E50" s="7" t="s">
        <v>16</v>
      </c>
      <c r="F50" s="7" t="s">
        <v>187</v>
      </c>
      <c r="G50" s="12" t="s">
        <v>137</v>
      </c>
      <c r="H50" s="7"/>
    </row>
    <row r="51" customFormat="false" ht="26.85" hidden="false" customHeight="false" outlineLevel="0" collapsed="false">
      <c r="A51" s="7" t="n">
        <v>50</v>
      </c>
      <c r="B51" s="7" t="s">
        <v>4</v>
      </c>
      <c r="C51" s="7" t="s">
        <v>82</v>
      </c>
      <c r="D51" s="7" t="s">
        <v>188</v>
      </c>
      <c r="E51" s="7" t="s">
        <v>16</v>
      </c>
      <c r="F51" s="7" t="s">
        <v>189</v>
      </c>
      <c r="G51" s="12" t="s">
        <v>190</v>
      </c>
      <c r="H51" s="7"/>
    </row>
    <row r="52" customFormat="false" ht="26.85" hidden="false" customHeight="false" outlineLevel="0" collapsed="false">
      <c r="A52" s="7" t="n">
        <v>51</v>
      </c>
      <c r="B52" s="7" t="s">
        <v>5</v>
      </c>
      <c r="C52" s="7" t="s">
        <v>94</v>
      </c>
      <c r="D52" s="7" t="s">
        <v>191</v>
      </c>
      <c r="E52" s="7" t="s">
        <v>16</v>
      </c>
      <c r="F52" s="7" t="s">
        <v>192</v>
      </c>
      <c r="G52" s="12" t="s">
        <v>100</v>
      </c>
      <c r="H52" s="7"/>
    </row>
    <row r="53" customFormat="false" ht="26.85" hidden="false" customHeight="false" outlineLevel="0" collapsed="false">
      <c r="A53" s="7" t="n">
        <v>52</v>
      </c>
      <c r="B53" s="7" t="s">
        <v>5</v>
      </c>
      <c r="C53" s="7" t="s">
        <v>94</v>
      </c>
      <c r="D53" s="7" t="s">
        <v>193</v>
      </c>
      <c r="E53" s="7" t="s">
        <v>16</v>
      </c>
      <c r="F53" s="7" t="s">
        <v>194</v>
      </c>
      <c r="G53" s="12" t="s">
        <v>100</v>
      </c>
      <c r="H53" s="7"/>
    </row>
    <row r="54" customFormat="false" ht="26.85" hidden="false" customHeight="false" outlineLevel="0" collapsed="false">
      <c r="A54" s="7" t="n">
        <v>53</v>
      </c>
      <c r="B54" s="7" t="s">
        <v>5</v>
      </c>
      <c r="C54" s="7" t="s">
        <v>94</v>
      </c>
      <c r="D54" s="7" t="s">
        <v>104</v>
      </c>
      <c r="E54" s="7" t="s">
        <v>16</v>
      </c>
      <c r="F54" s="7" t="s">
        <v>195</v>
      </c>
      <c r="G54" s="12" t="s">
        <v>106</v>
      </c>
      <c r="H54" s="7"/>
    </row>
    <row r="55" customFormat="false" ht="26.85" hidden="false" customHeight="false" outlineLevel="0" collapsed="false">
      <c r="A55" s="7" t="n">
        <v>54</v>
      </c>
      <c r="B55" s="7" t="s">
        <v>5</v>
      </c>
      <c r="C55" s="7" t="s">
        <v>94</v>
      </c>
      <c r="D55" s="7" t="s">
        <v>110</v>
      </c>
      <c r="E55" s="7" t="s">
        <v>16</v>
      </c>
      <c r="F55" s="7" t="s">
        <v>196</v>
      </c>
      <c r="G55" s="12" t="s">
        <v>112</v>
      </c>
      <c r="H55" s="7"/>
    </row>
    <row r="56" customFormat="false" ht="26.85" hidden="false" customHeight="false" outlineLevel="0" collapsed="false">
      <c r="A56" s="7" t="n">
        <v>55</v>
      </c>
      <c r="B56" s="7" t="s">
        <v>5</v>
      </c>
      <c r="C56" s="7" t="s">
        <v>94</v>
      </c>
      <c r="D56" s="7" t="s">
        <v>154</v>
      </c>
      <c r="E56" s="7" t="s">
        <v>16</v>
      </c>
      <c r="F56" s="7" t="s">
        <v>197</v>
      </c>
      <c r="G56" s="12" t="s">
        <v>112</v>
      </c>
      <c r="H56" s="7"/>
    </row>
    <row r="57" customFormat="false" ht="26.85" hidden="false" customHeight="false" outlineLevel="0" collapsed="false">
      <c r="A57" s="7" t="n">
        <v>56</v>
      </c>
      <c r="B57" s="7" t="s">
        <v>5</v>
      </c>
      <c r="C57" s="7" t="s">
        <v>94</v>
      </c>
      <c r="D57" s="7" t="s">
        <v>119</v>
      </c>
      <c r="E57" s="7" t="s">
        <v>16</v>
      </c>
      <c r="F57" s="7" t="s">
        <v>198</v>
      </c>
      <c r="G57" s="12" t="s">
        <v>118</v>
      </c>
      <c r="H57" s="7"/>
    </row>
    <row r="58" customFormat="false" ht="26.85" hidden="false" customHeight="false" outlineLevel="0" collapsed="false">
      <c r="A58" s="7" t="n">
        <v>57</v>
      </c>
      <c r="B58" s="7" t="s">
        <v>3</v>
      </c>
      <c r="C58" s="7" t="s">
        <v>63</v>
      </c>
      <c r="D58" s="7" t="s">
        <v>199</v>
      </c>
      <c r="E58" s="7" t="s">
        <v>18</v>
      </c>
      <c r="F58" s="7" t="s">
        <v>200</v>
      </c>
      <c r="G58" s="12" t="s">
        <v>201</v>
      </c>
      <c r="H58" s="7"/>
    </row>
    <row r="59" customFormat="false" ht="26.85" hidden="false" customHeight="false" outlineLevel="0" collapsed="false">
      <c r="A59" s="7" t="n">
        <v>58</v>
      </c>
      <c r="B59" s="7" t="s">
        <v>3</v>
      </c>
      <c r="C59" s="7" t="s">
        <v>166</v>
      </c>
      <c r="D59" s="7" t="s">
        <v>202</v>
      </c>
      <c r="E59" s="7" t="s">
        <v>18</v>
      </c>
      <c r="F59" s="7" t="s">
        <v>203</v>
      </c>
      <c r="G59" s="12" t="s">
        <v>204</v>
      </c>
      <c r="H59" s="7"/>
    </row>
    <row r="60" customFormat="false" ht="39.55" hidden="false" customHeight="false" outlineLevel="0" collapsed="false">
      <c r="A60" s="7" t="n">
        <v>59</v>
      </c>
      <c r="B60" s="7" t="s">
        <v>3</v>
      </c>
      <c r="C60" s="7" t="s">
        <v>166</v>
      </c>
      <c r="D60" s="7" t="s">
        <v>202</v>
      </c>
      <c r="E60" s="7" t="s">
        <v>18</v>
      </c>
      <c r="F60" s="7" t="s">
        <v>205</v>
      </c>
      <c r="G60" s="12" t="s">
        <v>206</v>
      </c>
      <c r="H60" s="7"/>
    </row>
    <row r="61" customFormat="false" ht="26.85" hidden="false" customHeight="false" outlineLevel="0" collapsed="false">
      <c r="A61" s="7" t="n">
        <v>60</v>
      </c>
      <c r="B61" s="7" t="s">
        <v>3</v>
      </c>
      <c r="C61" s="7" t="s">
        <v>63</v>
      </c>
      <c r="D61" s="7" t="s">
        <v>207</v>
      </c>
      <c r="E61" s="7" t="s">
        <v>18</v>
      </c>
      <c r="F61" s="7" t="s">
        <v>208</v>
      </c>
      <c r="G61" s="12" t="s">
        <v>209</v>
      </c>
      <c r="H61" s="7"/>
    </row>
    <row r="62" customFormat="false" ht="26.85" hidden="false" customHeight="false" outlineLevel="0" collapsed="false">
      <c r="A62" s="7" t="n">
        <v>61</v>
      </c>
      <c r="B62" s="7" t="s">
        <v>4</v>
      </c>
      <c r="C62" s="7" t="s">
        <v>82</v>
      </c>
      <c r="D62" s="7" t="s">
        <v>210</v>
      </c>
      <c r="E62" s="7" t="s">
        <v>18</v>
      </c>
      <c r="F62" s="7" t="s">
        <v>211</v>
      </c>
      <c r="G62" s="12" t="s">
        <v>174</v>
      </c>
      <c r="H62" s="7"/>
    </row>
    <row r="63" customFormat="false" ht="26.85" hidden="false" customHeight="false" outlineLevel="0" collapsed="false">
      <c r="A63" s="7" t="n">
        <v>62</v>
      </c>
      <c r="B63" s="7" t="s">
        <v>4</v>
      </c>
      <c r="C63" s="7" t="s">
        <v>82</v>
      </c>
      <c r="D63" s="7" t="s">
        <v>212</v>
      </c>
      <c r="E63" s="7" t="s">
        <v>18</v>
      </c>
      <c r="F63" s="7" t="s">
        <v>213</v>
      </c>
      <c r="G63" s="12" t="s">
        <v>214</v>
      </c>
      <c r="H63" s="7"/>
    </row>
    <row r="64" customFormat="false" ht="26.85" hidden="false" customHeight="false" outlineLevel="0" collapsed="false">
      <c r="A64" s="7" t="n">
        <v>63</v>
      </c>
      <c r="B64" s="7" t="s">
        <v>4</v>
      </c>
      <c r="C64" s="7" t="s">
        <v>82</v>
      </c>
      <c r="D64" s="7" t="s">
        <v>215</v>
      </c>
      <c r="E64" s="7" t="s">
        <v>18</v>
      </c>
      <c r="F64" s="7" t="s">
        <v>216</v>
      </c>
      <c r="G64" s="12" t="s">
        <v>140</v>
      </c>
      <c r="H64" s="7"/>
    </row>
    <row r="65" customFormat="false" ht="26.85" hidden="false" customHeight="false" outlineLevel="0" collapsed="false">
      <c r="A65" s="7" t="n">
        <v>64</v>
      </c>
      <c r="B65" s="7" t="s">
        <v>4</v>
      </c>
      <c r="C65" s="7" t="s">
        <v>82</v>
      </c>
      <c r="D65" s="7" t="s">
        <v>79</v>
      </c>
      <c r="E65" s="7" t="s">
        <v>18</v>
      </c>
      <c r="F65" s="7" t="s">
        <v>217</v>
      </c>
      <c r="G65" s="12" t="s">
        <v>91</v>
      </c>
      <c r="H65" s="7"/>
    </row>
    <row r="66" customFormat="false" ht="26.85" hidden="false" customHeight="false" outlineLevel="0" collapsed="false">
      <c r="A66" s="7" t="n">
        <v>65</v>
      </c>
      <c r="B66" s="7" t="s">
        <v>5</v>
      </c>
      <c r="C66" s="7" t="s">
        <v>94</v>
      </c>
      <c r="D66" s="7" t="s">
        <v>218</v>
      </c>
      <c r="E66" s="7" t="s">
        <v>18</v>
      </c>
      <c r="F66" s="7" t="s">
        <v>219</v>
      </c>
      <c r="G66" s="12" t="s">
        <v>109</v>
      </c>
      <c r="H66" s="7"/>
    </row>
    <row r="67" customFormat="false" ht="26.85" hidden="false" customHeight="false" outlineLevel="0" collapsed="false">
      <c r="A67" s="7" t="n">
        <v>66</v>
      </c>
      <c r="B67" s="7" t="s">
        <v>5</v>
      </c>
      <c r="C67" s="7" t="s">
        <v>94</v>
      </c>
      <c r="D67" s="7" t="s">
        <v>148</v>
      </c>
      <c r="E67" s="7" t="s">
        <v>18</v>
      </c>
      <c r="F67" s="7" t="s">
        <v>220</v>
      </c>
      <c r="G67" s="12" t="s">
        <v>109</v>
      </c>
      <c r="H67" s="7"/>
    </row>
    <row r="68" customFormat="false" ht="26.85" hidden="false" customHeight="false" outlineLevel="0" collapsed="false">
      <c r="A68" s="7" t="n">
        <v>67</v>
      </c>
      <c r="B68" s="7" t="s">
        <v>5</v>
      </c>
      <c r="C68" s="7" t="s">
        <v>94</v>
      </c>
      <c r="D68" s="7" t="s">
        <v>221</v>
      </c>
      <c r="E68" s="7" t="s">
        <v>18</v>
      </c>
      <c r="F68" s="7" t="s">
        <v>222</v>
      </c>
      <c r="G68" s="12" t="s">
        <v>112</v>
      </c>
      <c r="H68" s="7"/>
    </row>
    <row r="69" customFormat="false" ht="26.85" hidden="false" customHeight="false" outlineLevel="0" collapsed="false">
      <c r="A69" s="7" t="n">
        <v>68</v>
      </c>
      <c r="B69" s="7" t="s">
        <v>5</v>
      </c>
      <c r="C69" s="7" t="s">
        <v>94</v>
      </c>
      <c r="D69" s="7" t="s">
        <v>221</v>
      </c>
      <c r="E69" s="7" t="s">
        <v>18</v>
      </c>
      <c r="F69" s="7" t="s">
        <v>223</v>
      </c>
      <c r="G69" s="12" t="s">
        <v>112</v>
      </c>
      <c r="H69" s="7"/>
    </row>
    <row r="70" customFormat="false" ht="26.85" hidden="false" customHeight="false" outlineLevel="0" collapsed="false">
      <c r="A70" s="7" t="n">
        <v>69</v>
      </c>
      <c r="B70" s="7" t="s">
        <v>5</v>
      </c>
      <c r="C70" s="7" t="s">
        <v>94</v>
      </c>
      <c r="D70" s="7" t="s">
        <v>224</v>
      </c>
      <c r="E70" s="7" t="s">
        <v>18</v>
      </c>
      <c r="F70" s="7" t="s">
        <v>225</v>
      </c>
      <c r="G70" s="12" t="s">
        <v>112</v>
      </c>
      <c r="H70" s="7"/>
    </row>
    <row r="71" customFormat="false" ht="39.55" hidden="false" customHeight="false" outlineLevel="0" collapsed="false">
      <c r="A71" s="7" t="n">
        <v>70</v>
      </c>
      <c r="B71" s="7" t="s">
        <v>5</v>
      </c>
      <c r="C71" s="7" t="s">
        <v>94</v>
      </c>
      <c r="D71" s="7" t="s">
        <v>113</v>
      </c>
      <c r="E71" s="7" t="s">
        <v>18</v>
      </c>
      <c r="F71" s="7" t="s">
        <v>226</v>
      </c>
      <c r="G71" s="12" t="s">
        <v>115</v>
      </c>
      <c r="H71" s="7"/>
    </row>
    <row r="72" customFormat="false" ht="26.85" hidden="false" customHeight="false" outlineLevel="0" collapsed="false">
      <c r="A72" s="7" t="n">
        <v>71</v>
      </c>
      <c r="B72" s="7" t="s">
        <v>5</v>
      </c>
      <c r="C72" s="7" t="s">
        <v>94</v>
      </c>
      <c r="D72" s="7" t="s">
        <v>227</v>
      </c>
      <c r="E72" s="7" t="s">
        <v>18</v>
      </c>
      <c r="F72" s="7" t="s">
        <v>228</v>
      </c>
      <c r="G72" s="12" t="s">
        <v>118</v>
      </c>
      <c r="H72" s="7"/>
    </row>
    <row r="73" customFormat="false" ht="26.85" hidden="false" customHeight="false" outlineLevel="0" collapsed="false">
      <c r="A73" s="7" t="n">
        <v>72</v>
      </c>
      <c r="B73" s="7" t="s">
        <v>3</v>
      </c>
      <c r="C73" s="7" t="s">
        <v>166</v>
      </c>
      <c r="D73" s="7" t="s">
        <v>156</v>
      </c>
      <c r="E73" s="7" t="s">
        <v>20</v>
      </c>
      <c r="F73" s="7" t="s">
        <v>229</v>
      </c>
      <c r="G73" s="12" t="s">
        <v>230</v>
      </c>
      <c r="H73" s="7"/>
    </row>
    <row r="74" customFormat="false" ht="26.85" hidden="false" customHeight="false" outlineLevel="0" collapsed="false">
      <c r="A74" s="7" t="n">
        <v>73</v>
      </c>
      <c r="B74" s="7" t="s">
        <v>3</v>
      </c>
      <c r="C74" s="7" t="s">
        <v>63</v>
      </c>
      <c r="D74" s="7" t="s">
        <v>202</v>
      </c>
      <c r="E74" s="7" t="s">
        <v>20</v>
      </c>
      <c r="F74" s="7" t="s">
        <v>231</v>
      </c>
      <c r="G74" s="12" t="s">
        <v>232</v>
      </c>
      <c r="H74" s="7"/>
    </row>
    <row r="75" customFormat="false" ht="26.85" hidden="false" customHeight="false" outlineLevel="0" collapsed="false">
      <c r="A75" s="7" t="n">
        <v>74</v>
      </c>
      <c r="B75" s="7" t="s">
        <v>3</v>
      </c>
      <c r="C75" s="7" t="s">
        <v>63</v>
      </c>
      <c r="D75" s="7" t="s">
        <v>233</v>
      </c>
      <c r="E75" s="7" t="s">
        <v>20</v>
      </c>
      <c r="F75" s="7" t="s">
        <v>21</v>
      </c>
      <c r="G75" s="12" t="s">
        <v>234</v>
      </c>
      <c r="H75" s="7"/>
    </row>
    <row r="76" customFormat="false" ht="39.55" hidden="false" customHeight="false" outlineLevel="0" collapsed="false">
      <c r="A76" s="7" t="n">
        <v>75</v>
      </c>
      <c r="B76" s="7" t="s">
        <v>3</v>
      </c>
      <c r="C76" s="7" t="s">
        <v>63</v>
      </c>
      <c r="D76" s="7" t="s">
        <v>235</v>
      </c>
      <c r="E76" s="7" t="s">
        <v>20</v>
      </c>
      <c r="F76" s="7" t="s">
        <v>236</v>
      </c>
      <c r="G76" s="12" t="s">
        <v>237</v>
      </c>
      <c r="H76" s="7"/>
    </row>
    <row r="77" customFormat="false" ht="26.85" hidden="false" customHeight="false" outlineLevel="0" collapsed="false">
      <c r="A77" s="13" t="n">
        <v>76</v>
      </c>
      <c r="B77" s="13" t="s">
        <v>4</v>
      </c>
      <c r="C77" s="13" t="s">
        <v>82</v>
      </c>
      <c r="D77" s="13" t="s">
        <v>238</v>
      </c>
      <c r="E77" s="13" t="s">
        <v>20</v>
      </c>
      <c r="F77" s="13" t="s">
        <v>239</v>
      </c>
      <c r="G77" s="12" t="s">
        <v>240</v>
      </c>
      <c r="H77" s="13" t="s">
        <v>78</v>
      </c>
    </row>
    <row r="78" customFormat="false" ht="26.85" hidden="false" customHeight="false" outlineLevel="0" collapsed="false">
      <c r="A78" s="7" t="n">
        <v>77</v>
      </c>
      <c r="B78" s="7" t="s">
        <v>4</v>
      </c>
      <c r="C78" s="7" t="s">
        <v>82</v>
      </c>
      <c r="D78" s="7" t="s">
        <v>241</v>
      </c>
      <c r="E78" s="7" t="s">
        <v>20</v>
      </c>
      <c r="F78" s="7" t="s">
        <v>242</v>
      </c>
      <c r="G78" s="12" t="s">
        <v>182</v>
      </c>
      <c r="H78" s="7"/>
    </row>
    <row r="79" customFormat="false" ht="26.85" hidden="false" customHeight="false" outlineLevel="0" collapsed="false">
      <c r="A79" s="7" t="n">
        <v>78</v>
      </c>
      <c r="B79" s="7" t="s">
        <v>4</v>
      </c>
      <c r="C79" s="7" t="s">
        <v>82</v>
      </c>
      <c r="D79" s="7" t="s">
        <v>243</v>
      </c>
      <c r="E79" s="7" t="s">
        <v>20</v>
      </c>
      <c r="F79" s="7" t="s">
        <v>244</v>
      </c>
      <c r="G79" s="12" t="s">
        <v>185</v>
      </c>
      <c r="H79" s="7"/>
    </row>
    <row r="80" customFormat="false" ht="26.85" hidden="false" customHeight="false" outlineLevel="0" collapsed="false">
      <c r="A80" s="7" t="n">
        <v>79</v>
      </c>
      <c r="B80" s="7" t="s">
        <v>4</v>
      </c>
      <c r="C80" s="7" t="s">
        <v>82</v>
      </c>
      <c r="D80" s="7" t="s">
        <v>245</v>
      </c>
      <c r="E80" s="7" t="s">
        <v>20</v>
      </c>
      <c r="F80" s="7" t="s">
        <v>246</v>
      </c>
      <c r="G80" s="12" t="s">
        <v>247</v>
      </c>
      <c r="H80" s="7"/>
    </row>
    <row r="81" customFormat="false" ht="26.85" hidden="false" customHeight="false" outlineLevel="0" collapsed="false">
      <c r="A81" s="7" t="n">
        <v>80</v>
      </c>
      <c r="B81" s="7" t="s">
        <v>4</v>
      </c>
      <c r="C81" s="7" t="s">
        <v>82</v>
      </c>
      <c r="D81" s="7" t="s">
        <v>248</v>
      </c>
      <c r="E81" s="7" t="s">
        <v>20</v>
      </c>
      <c r="F81" s="7" t="s">
        <v>249</v>
      </c>
      <c r="G81" s="12" t="s">
        <v>250</v>
      </c>
      <c r="H81" s="7"/>
    </row>
    <row r="82" customFormat="false" ht="26.85" hidden="false" customHeight="false" outlineLevel="0" collapsed="false">
      <c r="A82" s="7" t="n">
        <v>81</v>
      </c>
      <c r="B82" s="7" t="s">
        <v>4</v>
      </c>
      <c r="C82" s="7" t="s">
        <v>82</v>
      </c>
      <c r="D82" s="7" t="s">
        <v>251</v>
      </c>
      <c r="E82" s="7" t="s">
        <v>20</v>
      </c>
      <c r="F82" s="7" t="s">
        <v>252</v>
      </c>
      <c r="G82" s="12" t="s">
        <v>253</v>
      </c>
      <c r="H82" s="7"/>
    </row>
    <row r="83" customFormat="false" ht="26.85" hidden="false" customHeight="false" outlineLevel="0" collapsed="false">
      <c r="A83" s="7" t="n">
        <v>82</v>
      </c>
      <c r="B83" s="7" t="s">
        <v>5</v>
      </c>
      <c r="C83" s="7" t="s">
        <v>94</v>
      </c>
      <c r="D83" s="7" t="s">
        <v>254</v>
      </c>
      <c r="E83" s="7" t="s">
        <v>20</v>
      </c>
      <c r="F83" s="7" t="s">
        <v>255</v>
      </c>
      <c r="G83" s="12" t="s">
        <v>256</v>
      </c>
      <c r="H83" s="7"/>
    </row>
    <row r="84" customFormat="false" ht="26.85" hidden="false" customHeight="false" outlineLevel="0" collapsed="false">
      <c r="A84" s="7" t="n">
        <v>83</v>
      </c>
      <c r="B84" s="7" t="s">
        <v>5</v>
      </c>
      <c r="C84" s="7" t="s">
        <v>94</v>
      </c>
      <c r="D84" s="7" t="s">
        <v>146</v>
      </c>
      <c r="E84" s="7" t="s">
        <v>20</v>
      </c>
      <c r="F84" s="7" t="s">
        <v>257</v>
      </c>
      <c r="G84" s="12" t="s">
        <v>106</v>
      </c>
      <c r="H84" s="7"/>
    </row>
    <row r="85" customFormat="false" ht="26.85" hidden="false" customHeight="false" outlineLevel="0" collapsed="false">
      <c r="A85" s="7" t="n">
        <v>84</v>
      </c>
      <c r="B85" s="7" t="s">
        <v>5</v>
      </c>
      <c r="C85" s="7" t="s">
        <v>94</v>
      </c>
      <c r="D85" s="7" t="s">
        <v>258</v>
      </c>
      <c r="E85" s="7" t="s">
        <v>20</v>
      </c>
      <c r="F85" s="7" t="s">
        <v>259</v>
      </c>
      <c r="G85" s="12" t="s">
        <v>109</v>
      </c>
      <c r="H85" s="7"/>
    </row>
    <row r="86" customFormat="false" ht="39.55" hidden="false" customHeight="false" outlineLevel="0" collapsed="false">
      <c r="A86" s="7" t="n">
        <v>85</v>
      </c>
      <c r="B86" s="7" t="s">
        <v>3</v>
      </c>
      <c r="C86" s="7" t="s">
        <v>63</v>
      </c>
      <c r="D86" s="7" t="s">
        <v>260</v>
      </c>
      <c r="E86" s="7" t="s">
        <v>22</v>
      </c>
      <c r="F86" s="7" t="s">
        <v>23</v>
      </c>
      <c r="G86" s="12" t="s">
        <v>261</v>
      </c>
      <c r="H86" s="7"/>
    </row>
    <row r="87" customFormat="false" ht="26.85" hidden="false" customHeight="false" outlineLevel="0" collapsed="false">
      <c r="A87" s="13" t="n">
        <v>86</v>
      </c>
      <c r="B87" s="13" t="s">
        <v>3</v>
      </c>
      <c r="C87" s="13" t="s">
        <v>166</v>
      </c>
      <c r="D87" s="13" t="s">
        <v>89</v>
      </c>
      <c r="E87" s="13" t="s">
        <v>22</v>
      </c>
      <c r="F87" s="13" t="s">
        <v>262</v>
      </c>
      <c r="G87" s="12" t="s">
        <v>263</v>
      </c>
      <c r="H87" s="13" t="s">
        <v>78</v>
      </c>
    </row>
    <row r="88" customFormat="false" ht="26.85" hidden="false" customHeight="false" outlineLevel="0" collapsed="false">
      <c r="A88" s="7" t="n">
        <v>87</v>
      </c>
      <c r="B88" s="7" t="s">
        <v>3</v>
      </c>
      <c r="C88" s="7" t="s">
        <v>63</v>
      </c>
      <c r="D88" s="7" t="s">
        <v>264</v>
      </c>
      <c r="E88" s="7" t="s">
        <v>22</v>
      </c>
      <c r="F88" s="7" t="s">
        <v>265</v>
      </c>
      <c r="G88" s="12" t="s">
        <v>266</v>
      </c>
      <c r="H88" s="7"/>
    </row>
    <row r="89" customFormat="false" ht="26.85" hidden="false" customHeight="false" outlineLevel="0" collapsed="false">
      <c r="A89" s="7" t="n">
        <v>88</v>
      </c>
      <c r="B89" s="7" t="s">
        <v>3</v>
      </c>
      <c r="C89" s="7" t="s">
        <v>63</v>
      </c>
      <c r="D89" s="7" t="s">
        <v>267</v>
      </c>
      <c r="E89" s="7" t="s">
        <v>22</v>
      </c>
      <c r="F89" s="7" t="s">
        <v>268</v>
      </c>
      <c r="G89" s="12" t="s">
        <v>269</v>
      </c>
      <c r="H89" s="7"/>
    </row>
    <row r="90" customFormat="false" ht="26.85" hidden="false" customHeight="false" outlineLevel="0" collapsed="false">
      <c r="A90" s="13" t="n">
        <v>89</v>
      </c>
      <c r="B90" s="13" t="s">
        <v>4</v>
      </c>
      <c r="C90" s="13" t="s">
        <v>82</v>
      </c>
      <c r="D90" s="13" t="s">
        <v>270</v>
      </c>
      <c r="E90" s="13" t="s">
        <v>22</v>
      </c>
      <c r="F90" s="13" t="s">
        <v>271</v>
      </c>
      <c r="G90" s="12" t="s">
        <v>272</v>
      </c>
      <c r="H90" s="13" t="s">
        <v>78</v>
      </c>
    </row>
    <row r="91" customFormat="false" ht="26.85" hidden="false" customHeight="false" outlineLevel="0" collapsed="false">
      <c r="A91" s="7" t="n">
        <v>90</v>
      </c>
      <c r="B91" s="7" t="s">
        <v>4</v>
      </c>
      <c r="C91" s="7" t="s">
        <v>82</v>
      </c>
      <c r="D91" s="7" t="s">
        <v>273</v>
      </c>
      <c r="E91" s="7" t="s">
        <v>22</v>
      </c>
      <c r="F91" s="7" t="s">
        <v>274</v>
      </c>
      <c r="G91" s="12" t="s">
        <v>275</v>
      </c>
      <c r="H91" s="7"/>
    </row>
    <row r="92" customFormat="false" ht="26.85" hidden="false" customHeight="false" outlineLevel="0" collapsed="false">
      <c r="A92" s="13" t="n">
        <v>91</v>
      </c>
      <c r="B92" s="13" t="s">
        <v>4</v>
      </c>
      <c r="C92" s="13" t="s">
        <v>82</v>
      </c>
      <c r="D92" s="13" t="s">
        <v>276</v>
      </c>
      <c r="E92" s="13" t="s">
        <v>22</v>
      </c>
      <c r="F92" s="13" t="s">
        <v>277</v>
      </c>
      <c r="G92" s="12" t="s">
        <v>278</v>
      </c>
      <c r="H92" s="13" t="s">
        <v>78</v>
      </c>
    </row>
    <row r="93" customFormat="false" ht="26.85" hidden="false" customHeight="false" outlineLevel="0" collapsed="false">
      <c r="A93" s="7" t="n">
        <v>92</v>
      </c>
      <c r="B93" s="7" t="s">
        <v>4</v>
      </c>
      <c r="C93" s="7" t="s">
        <v>82</v>
      </c>
      <c r="D93" s="7" t="s">
        <v>279</v>
      </c>
      <c r="E93" s="7" t="s">
        <v>22</v>
      </c>
      <c r="F93" s="7" t="s">
        <v>280</v>
      </c>
      <c r="G93" s="12" t="s">
        <v>275</v>
      </c>
      <c r="H93" s="7"/>
    </row>
    <row r="94" customFormat="false" ht="26.85" hidden="false" customHeight="false" outlineLevel="0" collapsed="false">
      <c r="A94" s="7" t="n">
        <v>93</v>
      </c>
      <c r="B94" s="7" t="s">
        <v>4</v>
      </c>
      <c r="C94" s="7" t="s">
        <v>82</v>
      </c>
      <c r="D94" s="7" t="s">
        <v>281</v>
      </c>
      <c r="E94" s="7" t="s">
        <v>22</v>
      </c>
      <c r="F94" s="7" t="s">
        <v>282</v>
      </c>
      <c r="G94" s="12" t="s">
        <v>283</v>
      </c>
      <c r="H94" s="7"/>
    </row>
    <row r="95" customFormat="false" ht="26.85" hidden="false" customHeight="false" outlineLevel="0" collapsed="false">
      <c r="A95" s="7" t="n">
        <v>94</v>
      </c>
      <c r="B95" s="7" t="s">
        <v>4</v>
      </c>
      <c r="C95" s="7" t="s">
        <v>82</v>
      </c>
      <c r="D95" s="7" t="s">
        <v>284</v>
      </c>
      <c r="E95" s="7" t="s">
        <v>22</v>
      </c>
      <c r="F95" s="7" t="s">
        <v>285</v>
      </c>
      <c r="G95" s="12" t="s">
        <v>283</v>
      </c>
      <c r="H95" s="7"/>
    </row>
    <row r="96" customFormat="false" ht="26.85" hidden="false" customHeight="false" outlineLevel="0" collapsed="false">
      <c r="A96" s="7" t="n">
        <v>95</v>
      </c>
      <c r="B96" s="7" t="s">
        <v>5</v>
      </c>
      <c r="C96" s="7" t="s">
        <v>94</v>
      </c>
      <c r="D96" s="7" t="s">
        <v>286</v>
      </c>
      <c r="E96" s="7" t="s">
        <v>22</v>
      </c>
      <c r="F96" s="7" t="s">
        <v>287</v>
      </c>
      <c r="G96" s="12" t="s">
        <v>109</v>
      </c>
      <c r="H96" s="7"/>
    </row>
    <row r="97" customFormat="false" ht="26.85" hidden="false" customHeight="false" outlineLevel="0" collapsed="false">
      <c r="A97" s="7" t="n">
        <v>96</v>
      </c>
      <c r="B97" s="7" t="s">
        <v>5</v>
      </c>
      <c r="C97" s="7" t="s">
        <v>94</v>
      </c>
      <c r="D97" s="7" t="s">
        <v>288</v>
      </c>
      <c r="E97" s="7" t="s">
        <v>22</v>
      </c>
      <c r="F97" s="7" t="s">
        <v>289</v>
      </c>
      <c r="G97" s="12" t="s">
        <v>112</v>
      </c>
      <c r="H97" s="7"/>
    </row>
    <row r="98" customFormat="false" ht="26.85" hidden="false" customHeight="false" outlineLevel="0" collapsed="false">
      <c r="A98" s="13" t="n">
        <v>97</v>
      </c>
      <c r="B98" s="13" t="s">
        <v>3</v>
      </c>
      <c r="C98" s="13" t="s">
        <v>166</v>
      </c>
      <c r="D98" s="13" t="s">
        <v>290</v>
      </c>
      <c r="E98" s="13" t="s">
        <v>24</v>
      </c>
      <c r="F98" s="13" t="s">
        <v>25</v>
      </c>
      <c r="G98" s="12" t="s">
        <v>291</v>
      </c>
      <c r="H98" s="13" t="s">
        <v>78</v>
      </c>
    </row>
    <row r="99" customFormat="false" ht="26.85" hidden="false" customHeight="false" outlineLevel="0" collapsed="false">
      <c r="A99" s="7" t="n">
        <v>98</v>
      </c>
      <c r="B99" s="7" t="s">
        <v>4</v>
      </c>
      <c r="C99" s="7" t="s">
        <v>82</v>
      </c>
      <c r="D99" s="7" t="s">
        <v>292</v>
      </c>
      <c r="E99" s="7" t="s">
        <v>24</v>
      </c>
      <c r="F99" s="7" t="s">
        <v>293</v>
      </c>
      <c r="G99" s="12" t="s">
        <v>294</v>
      </c>
      <c r="H99" s="7"/>
    </row>
    <row r="100" customFormat="false" ht="26.85" hidden="false" customHeight="false" outlineLevel="0" collapsed="false">
      <c r="A100" s="13" t="n">
        <v>99</v>
      </c>
      <c r="B100" s="13" t="s">
        <v>4</v>
      </c>
      <c r="C100" s="13" t="s">
        <v>82</v>
      </c>
      <c r="D100" s="13" t="s">
        <v>295</v>
      </c>
      <c r="E100" s="13" t="s">
        <v>24</v>
      </c>
      <c r="F100" s="13" t="s">
        <v>296</v>
      </c>
      <c r="G100" s="12" t="s">
        <v>240</v>
      </c>
      <c r="H100" s="13" t="s">
        <v>78</v>
      </c>
    </row>
    <row r="101" customFormat="false" ht="26.85" hidden="false" customHeight="false" outlineLevel="0" collapsed="false">
      <c r="A101" s="13" t="n">
        <v>100</v>
      </c>
      <c r="B101" s="13" t="s">
        <v>4</v>
      </c>
      <c r="C101" s="13" t="s">
        <v>82</v>
      </c>
      <c r="D101" s="13" t="s">
        <v>297</v>
      </c>
      <c r="E101" s="13" t="s">
        <v>24</v>
      </c>
      <c r="F101" s="13" t="s">
        <v>298</v>
      </c>
      <c r="G101" s="12" t="s">
        <v>240</v>
      </c>
      <c r="H101" s="13" t="s">
        <v>78</v>
      </c>
    </row>
    <row r="102" customFormat="false" ht="26.85" hidden="false" customHeight="false" outlineLevel="0" collapsed="false">
      <c r="A102" s="13" t="n">
        <v>101</v>
      </c>
      <c r="B102" s="13" t="s">
        <v>4</v>
      </c>
      <c r="C102" s="13" t="s">
        <v>82</v>
      </c>
      <c r="D102" s="13" t="s">
        <v>299</v>
      </c>
      <c r="E102" s="13" t="s">
        <v>24</v>
      </c>
      <c r="F102" s="13" t="s">
        <v>300</v>
      </c>
      <c r="G102" s="12" t="s">
        <v>301</v>
      </c>
      <c r="H102" s="13" t="s">
        <v>78</v>
      </c>
    </row>
    <row r="103" customFormat="false" ht="26.85" hidden="false" customHeight="false" outlineLevel="0" collapsed="false">
      <c r="A103" s="13" t="n">
        <v>102</v>
      </c>
      <c r="B103" s="13" t="s">
        <v>4</v>
      </c>
      <c r="C103" s="13" t="s">
        <v>82</v>
      </c>
      <c r="D103" s="13" t="s">
        <v>302</v>
      </c>
      <c r="E103" s="13" t="s">
        <v>24</v>
      </c>
      <c r="F103" s="13" t="s">
        <v>303</v>
      </c>
      <c r="G103" s="12" t="s">
        <v>283</v>
      </c>
      <c r="H103" s="13" t="s">
        <v>78</v>
      </c>
    </row>
    <row r="104" customFormat="false" ht="26.85" hidden="false" customHeight="false" outlineLevel="0" collapsed="false">
      <c r="A104" s="7" t="n">
        <v>103</v>
      </c>
      <c r="B104" s="7" t="s">
        <v>5</v>
      </c>
      <c r="C104" s="7" t="s">
        <v>94</v>
      </c>
      <c r="D104" s="7" t="s">
        <v>304</v>
      </c>
      <c r="E104" s="7" t="s">
        <v>24</v>
      </c>
      <c r="F104" s="7" t="s">
        <v>305</v>
      </c>
      <c r="G104" s="12" t="s">
        <v>256</v>
      </c>
      <c r="H104" s="7"/>
    </row>
    <row r="105" customFormat="false" ht="26.85" hidden="false" customHeight="false" outlineLevel="0" collapsed="false">
      <c r="A105" s="7" t="n">
        <v>104</v>
      </c>
      <c r="B105" s="7" t="s">
        <v>5</v>
      </c>
      <c r="C105" s="7" t="s">
        <v>94</v>
      </c>
      <c r="D105" s="7" t="s">
        <v>193</v>
      </c>
      <c r="E105" s="7" t="s">
        <v>24</v>
      </c>
      <c r="F105" s="7" t="s">
        <v>306</v>
      </c>
      <c r="G105" s="12" t="s">
        <v>100</v>
      </c>
      <c r="H105" s="7"/>
    </row>
    <row r="106" customFormat="false" ht="26.85" hidden="false" customHeight="false" outlineLevel="0" collapsed="false">
      <c r="A106" s="7" t="n">
        <v>105</v>
      </c>
      <c r="B106" s="7" t="s">
        <v>5</v>
      </c>
      <c r="C106" s="7" t="s">
        <v>94</v>
      </c>
      <c r="D106" s="7" t="s">
        <v>193</v>
      </c>
      <c r="E106" s="7" t="s">
        <v>24</v>
      </c>
      <c r="F106" s="7" t="s">
        <v>307</v>
      </c>
      <c r="G106" s="12" t="s">
        <v>100</v>
      </c>
      <c r="H106" s="7"/>
    </row>
    <row r="107" customFormat="false" ht="26.85" hidden="false" customHeight="false" outlineLevel="0" collapsed="false">
      <c r="A107" s="7" t="n">
        <v>106</v>
      </c>
      <c r="B107" s="7" t="s">
        <v>5</v>
      </c>
      <c r="C107" s="7" t="s">
        <v>94</v>
      </c>
      <c r="D107" s="7" t="s">
        <v>308</v>
      </c>
      <c r="E107" s="7" t="s">
        <v>24</v>
      </c>
      <c r="F107" s="7" t="s">
        <v>309</v>
      </c>
      <c r="G107" s="12" t="s">
        <v>106</v>
      </c>
      <c r="H107" s="7"/>
    </row>
    <row r="108" customFormat="false" ht="26.85" hidden="false" customHeight="false" outlineLevel="0" collapsed="false">
      <c r="A108" s="7" t="n">
        <v>107</v>
      </c>
      <c r="B108" s="7" t="s">
        <v>5</v>
      </c>
      <c r="C108" s="7" t="s">
        <v>94</v>
      </c>
      <c r="D108" s="7" t="s">
        <v>310</v>
      </c>
      <c r="E108" s="7" t="s">
        <v>24</v>
      </c>
      <c r="F108" s="7" t="s">
        <v>311</v>
      </c>
      <c r="G108" s="12" t="s">
        <v>109</v>
      </c>
      <c r="H108" s="7"/>
    </row>
    <row r="109" customFormat="false" ht="26.85" hidden="false" customHeight="false" outlineLevel="0" collapsed="false">
      <c r="A109" s="7" t="n">
        <v>108</v>
      </c>
      <c r="B109" s="7" t="s">
        <v>5</v>
      </c>
      <c r="C109" s="7" t="s">
        <v>94</v>
      </c>
      <c r="D109" s="7" t="s">
        <v>312</v>
      </c>
      <c r="E109" s="7" t="s">
        <v>24</v>
      </c>
      <c r="F109" s="7" t="s">
        <v>313</v>
      </c>
      <c r="G109" s="12" t="s">
        <v>118</v>
      </c>
      <c r="H109" s="7"/>
    </row>
    <row r="110" customFormat="false" ht="26.85" hidden="false" customHeight="false" outlineLevel="0" collapsed="false">
      <c r="A110" s="13" t="n">
        <v>109</v>
      </c>
      <c r="B110" s="13" t="s">
        <v>3</v>
      </c>
      <c r="C110" s="13" t="s">
        <v>166</v>
      </c>
      <c r="D110" s="13" t="s">
        <v>156</v>
      </c>
      <c r="E110" s="13" t="s">
        <v>26</v>
      </c>
      <c r="F110" s="13" t="s">
        <v>314</v>
      </c>
      <c r="G110" s="12" t="s">
        <v>315</v>
      </c>
      <c r="H110" s="13" t="s">
        <v>78</v>
      </c>
    </row>
    <row r="111" customFormat="false" ht="26.85" hidden="false" customHeight="false" outlineLevel="0" collapsed="false">
      <c r="A111" s="13" t="n">
        <v>110</v>
      </c>
      <c r="B111" s="13" t="s">
        <v>3</v>
      </c>
      <c r="C111" s="13" t="s">
        <v>63</v>
      </c>
      <c r="D111" s="13" t="s">
        <v>316</v>
      </c>
      <c r="E111" s="13" t="s">
        <v>26</v>
      </c>
      <c r="F111" s="13" t="s">
        <v>317</v>
      </c>
      <c r="G111" s="12" t="s">
        <v>318</v>
      </c>
      <c r="H111" s="13" t="s">
        <v>78</v>
      </c>
    </row>
    <row r="112" customFormat="false" ht="26.85" hidden="false" customHeight="false" outlineLevel="0" collapsed="false">
      <c r="A112" s="13" t="n">
        <v>111</v>
      </c>
      <c r="B112" s="13" t="s">
        <v>3</v>
      </c>
      <c r="C112" s="13" t="s">
        <v>166</v>
      </c>
      <c r="D112" s="13" t="s">
        <v>290</v>
      </c>
      <c r="E112" s="13" t="s">
        <v>26</v>
      </c>
      <c r="F112" s="13" t="s">
        <v>319</v>
      </c>
      <c r="G112" s="12" t="s">
        <v>320</v>
      </c>
      <c r="H112" s="13" t="s">
        <v>78</v>
      </c>
    </row>
    <row r="113" customFormat="false" ht="26.85" hidden="false" customHeight="false" outlineLevel="0" collapsed="false">
      <c r="A113" s="13" t="n">
        <v>112</v>
      </c>
      <c r="B113" s="13" t="s">
        <v>3</v>
      </c>
      <c r="C113" s="13" t="s">
        <v>166</v>
      </c>
      <c r="D113" s="13" t="s">
        <v>321</v>
      </c>
      <c r="E113" s="13" t="s">
        <v>26</v>
      </c>
      <c r="F113" s="13" t="s">
        <v>27</v>
      </c>
      <c r="G113" s="12" t="s">
        <v>322</v>
      </c>
      <c r="H113" s="13" t="s">
        <v>78</v>
      </c>
    </row>
    <row r="114" customFormat="false" ht="26.85" hidden="false" customHeight="false" outlineLevel="0" collapsed="false">
      <c r="A114" s="13" t="n">
        <v>113</v>
      </c>
      <c r="B114" s="13" t="s">
        <v>3</v>
      </c>
      <c r="C114" s="13" t="s">
        <v>166</v>
      </c>
      <c r="D114" s="13" t="s">
        <v>321</v>
      </c>
      <c r="E114" s="13" t="s">
        <v>26</v>
      </c>
      <c r="F114" s="13" t="s">
        <v>323</v>
      </c>
      <c r="G114" s="12" t="s">
        <v>324</v>
      </c>
      <c r="H114" s="13" t="s">
        <v>78</v>
      </c>
    </row>
    <row r="115" customFormat="false" ht="26.85" hidden="false" customHeight="false" outlineLevel="0" collapsed="false">
      <c r="A115" s="13" t="n">
        <v>114</v>
      </c>
      <c r="B115" s="13" t="s">
        <v>3</v>
      </c>
      <c r="C115" s="13" t="s">
        <v>166</v>
      </c>
      <c r="D115" s="13" t="s">
        <v>321</v>
      </c>
      <c r="E115" s="13" t="s">
        <v>26</v>
      </c>
      <c r="F115" s="13" t="s">
        <v>325</v>
      </c>
      <c r="G115" s="12" t="s">
        <v>326</v>
      </c>
      <c r="H115" s="13" t="s">
        <v>78</v>
      </c>
    </row>
    <row r="116" customFormat="false" ht="26.85" hidden="false" customHeight="false" outlineLevel="0" collapsed="false">
      <c r="A116" s="13" t="n">
        <v>115</v>
      </c>
      <c r="B116" s="13" t="s">
        <v>3</v>
      </c>
      <c r="C116" s="13" t="s">
        <v>166</v>
      </c>
      <c r="D116" s="13" t="s">
        <v>169</v>
      </c>
      <c r="E116" s="13" t="s">
        <v>26</v>
      </c>
      <c r="F116" s="13" t="s">
        <v>327</v>
      </c>
      <c r="G116" s="12" t="s">
        <v>328</v>
      </c>
      <c r="H116" s="13" t="s">
        <v>78</v>
      </c>
    </row>
    <row r="117" customFormat="false" ht="26.85" hidden="false" customHeight="false" outlineLevel="0" collapsed="false">
      <c r="A117" s="13" t="n">
        <v>116</v>
      </c>
      <c r="B117" s="13" t="s">
        <v>4</v>
      </c>
      <c r="C117" s="13" t="s">
        <v>82</v>
      </c>
      <c r="D117" s="13" t="s">
        <v>329</v>
      </c>
      <c r="E117" s="13" t="s">
        <v>26</v>
      </c>
      <c r="F117" s="13" t="s">
        <v>330</v>
      </c>
      <c r="G117" s="12" t="s">
        <v>85</v>
      </c>
      <c r="H117" s="13" t="s">
        <v>78</v>
      </c>
    </row>
    <row r="118" customFormat="false" ht="39.55" hidden="false" customHeight="false" outlineLevel="0" collapsed="false">
      <c r="A118" s="13" t="n">
        <v>117</v>
      </c>
      <c r="B118" s="13" t="s">
        <v>4</v>
      </c>
      <c r="C118" s="13" t="s">
        <v>82</v>
      </c>
      <c r="D118" s="13" t="s">
        <v>331</v>
      </c>
      <c r="E118" s="13" t="s">
        <v>26</v>
      </c>
      <c r="F118" s="13" t="s">
        <v>332</v>
      </c>
      <c r="G118" s="12" t="s">
        <v>301</v>
      </c>
      <c r="H118" s="13" t="s">
        <v>78</v>
      </c>
    </row>
    <row r="119" customFormat="false" ht="26.85" hidden="false" customHeight="false" outlineLevel="0" collapsed="false">
      <c r="A119" s="13" t="n">
        <v>118</v>
      </c>
      <c r="B119" s="13" t="s">
        <v>4</v>
      </c>
      <c r="C119" s="13" t="s">
        <v>82</v>
      </c>
      <c r="D119" s="13" t="s">
        <v>302</v>
      </c>
      <c r="E119" s="13" t="s">
        <v>26</v>
      </c>
      <c r="F119" s="13" t="s">
        <v>333</v>
      </c>
      <c r="G119" s="12" t="s">
        <v>283</v>
      </c>
      <c r="H119" s="13" t="s">
        <v>78</v>
      </c>
    </row>
    <row r="120" customFormat="false" ht="26.85" hidden="false" customHeight="false" outlineLevel="0" collapsed="false">
      <c r="A120" s="13" t="n">
        <v>119</v>
      </c>
      <c r="B120" s="13" t="s">
        <v>4</v>
      </c>
      <c r="C120" s="13" t="s">
        <v>82</v>
      </c>
      <c r="D120" s="13" t="s">
        <v>284</v>
      </c>
      <c r="E120" s="13" t="s">
        <v>26</v>
      </c>
      <c r="F120" s="13" t="s">
        <v>334</v>
      </c>
      <c r="G120" s="12" t="s">
        <v>283</v>
      </c>
      <c r="H120" s="13" t="s">
        <v>78</v>
      </c>
    </row>
    <row r="121" customFormat="false" ht="26.85" hidden="false" customHeight="false" outlineLevel="0" collapsed="false">
      <c r="A121" s="13" t="n">
        <v>120</v>
      </c>
      <c r="B121" s="13" t="s">
        <v>4</v>
      </c>
      <c r="C121" s="13" t="s">
        <v>82</v>
      </c>
      <c r="D121" s="13" t="s">
        <v>243</v>
      </c>
      <c r="E121" s="13" t="s">
        <v>26</v>
      </c>
      <c r="F121" s="13" t="s">
        <v>335</v>
      </c>
      <c r="G121" s="12" t="s">
        <v>283</v>
      </c>
      <c r="H121" s="13" t="s">
        <v>78</v>
      </c>
    </row>
    <row r="122" customFormat="false" ht="26.85" hidden="false" customHeight="false" outlineLevel="0" collapsed="false">
      <c r="A122" s="7" t="n">
        <v>121</v>
      </c>
      <c r="B122" s="7" t="s">
        <v>3</v>
      </c>
      <c r="C122" s="7" t="s">
        <v>166</v>
      </c>
      <c r="D122" s="7" t="s">
        <v>70</v>
      </c>
      <c r="E122" s="7" t="s">
        <v>28</v>
      </c>
      <c r="F122" s="7" t="s">
        <v>336</v>
      </c>
      <c r="G122" s="12" t="s">
        <v>337</v>
      </c>
      <c r="H122" s="7"/>
    </row>
    <row r="123" customFormat="false" ht="26.85" hidden="false" customHeight="false" outlineLevel="0" collapsed="false">
      <c r="A123" s="7" t="n">
        <v>122</v>
      </c>
      <c r="B123" s="7" t="s">
        <v>3</v>
      </c>
      <c r="C123" s="7" t="s">
        <v>166</v>
      </c>
      <c r="D123" s="7" t="s">
        <v>70</v>
      </c>
      <c r="E123" s="7" t="s">
        <v>28</v>
      </c>
      <c r="F123" s="7" t="s">
        <v>338</v>
      </c>
      <c r="G123" s="12" t="s">
        <v>339</v>
      </c>
      <c r="H123" s="7"/>
    </row>
    <row r="124" customFormat="false" ht="26.85" hidden="false" customHeight="false" outlineLevel="0" collapsed="false">
      <c r="A124" s="7" t="n">
        <v>123</v>
      </c>
      <c r="B124" s="7" t="s">
        <v>3</v>
      </c>
      <c r="C124" s="7" t="s">
        <v>63</v>
      </c>
      <c r="D124" s="7" t="s">
        <v>340</v>
      </c>
      <c r="E124" s="7" t="s">
        <v>28</v>
      </c>
      <c r="F124" s="7" t="s">
        <v>29</v>
      </c>
      <c r="G124" s="12" t="s">
        <v>341</v>
      </c>
      <c r="H124" s="7"/>
    </row>
    <row r="125" customFormat="false" ht="26.85" hidden="false" customHeight="false" outlineLevel="0" collapsed="false">
      <c r="A125" s="7" t="n">
        <v>124</v>
      </c>
      <c r="B125" s="7" t="s">
        <v>3</v>
      </c>
      <c r="C125" s="7" t="s">
        <v>63</v>
      </c>
      <c r="D125" s="7" t="s">
        <v>342</v>
      </c>
      <c r="E125" s="7" t="s">
        <v>28</v>
      </c>
      <c r="F125" s="7" t="s">
        <v>343</v>
      </c>
      <c r="G125" s="12" t="s">
        <v>344</v>
      </c>
      <c r="H125" s="7"/>
    </row>
    <row r="126" customFormat="false" ht="26.85" hidden="false" customHeight="false" outlineLevel="0" collapsed="false">
      <c r="A126" s="7" t="n">
        <v>125</v>
      </c>
      <c r="B126" s="7" t="s">
        <v>4</v>
      </c>
      <c r="C126" s="7" t="s">
        <v>82</v>
      </c>
      <c r="D126" s="7" t="s">
        <v>345</v>
      </c>
      <c r="E126" s="7" t="s">
        <v>28</v>
      </c>
      <c r="F126" s="7" t="s">
        <v>346</v>
      </c>
      <c r="G126" s="12" t="s">
        <v>347</v>
      </c>
      <c r="H126" s="7"/>
    </row>
    <row r="127" customFormat="false" ht="26.85" hidden="false" customHeight="false" outlineLevel="0" collapsed="false">
      <c r="A127" s="7" t="n">
        <v>126</v>
      </c>
      <c r="B127" s="7" t="s">
        <v>4</v>
      </c>
      <c r="C127" s="7" t="s">
        <v>82</v>
      </c>
      <c r="D127" s="7" t="s">
        <v>348</v>
      </c>
      <c r="E127" s="7" t="s">
        <v>28</v>
      </c>
      <c r="F127" s="7" t="s">
        <v>349</v>
      </c>
      <c r="G127" s="12" t="s">
        <v>253</v>
      </c>
      <c r="H127" s="7"/>
    </row>
    <row r="128" customFormat="false" ht="26.85" hidden="false" customHeight="false" outlineLevel="0" collapsed="false">
      <c r="A128" s="7" t="n">
        <v>127</v>
      </c>
      <c r="B128" s="7" t="s">
        <v>5</v>
      </c>
      <c r="C128" s="7" t="s">
        <v>94</v>
      </c>
      <c r="D128" s="7" t="s">
        <v>95</v>
      </c>
      <c r="E128" s="7" t="s">
        <v>28</v>
      </c>
      <c r="F128" s="7" t="s">
        <v>350</v>
      </c>
      <c r="G128" s="12" t="s">
        <v>351</v>
      </c>
      <c r="H128" s="7"/>
    </row>
    <row r="129" customFormat="false" ht="26.85" hidden="false" customHeight="false" outlineLevel="0" collapsed="false">
      <c r="A129" s="7" t="n">
        <v>128</v>
      </c>
      <c r="B129" s="7" t="s">
        <v>5</v>
      </c>
      <c r="C129" s="7" t="s">
        <v>94</v>
      </c>
      <c r="D129" s="7" t="s">
        <v>101</v>
      </c>
      <c r="E129" s="7" t="s">
        <v>28</v>
      </c>
      <c r="F129" s="7" t="s">
        <v>352</v>
      </c>
      <c r="G129" s="12" t="s">
        <v>103</v>
      </c>
      <c r="H129" s="7"/>
    </row>
    <row r="130" customFormat="false" ht="26.85" hidden="false" customHeight="false" outlineLevel="0" collapsed="false">
      <c r="A130" s="7" t="n">
        <v>129</v>
      </c>
      <c r="B130" s="7" t="s">
        <v>5</v>
      </c>
      <c r="C130" s="7" t="s">
        <v>94</v>
      </c>
      <c r="D130" s="7" t="s">
        <v>353</v>
      </c>
      <c r="E130" s="7" t="s">
        <v>28</v>
      </c>
      <c r="F130" s="7" t="s">
        <v>354</v>
      </c>
      <c r="G130" s="12" t="s">
        <v>112</v>
      </c>
      <c r="H130" s="7"/>
    </row>
    <row r="131" customFormat="false" ht="26.85" hidden="false" customHeight="false" outlineLevel="0" collapsed="false">
      <c r="A131" s="7" t="n">
        <v>130</v>
      </c>
      <c r="B131" s="7" t="s">
        <v>3</v>
      </c>
      <c r="C131" s="7" t="s">
        <v>63</v>
      </c>
      <c r="D131" s="7" t="s">
        <v>355</v>
      </c>
      <c r="E131" s="7" t="s">
        <v>30</v>
      </c>
      <c r="F131" s="7" t="s">
        <v>356</v>
      </c>
      <c r="G131" s="12" t="s">
        <v>357</v>
      </c>
      <c r="H131" s="7"/>
    </row>
    <row r="132" customFormat="false" ht="26.85" hidden="false" customHeight="false" outlineLevel="0" collapsed="false">
      <c r="A132" s="7" t="n">
        <v>131</v>
      </c>
      <c r="B132" s="7" t="s">
        <v>3</v>
      </c>
      <c r="C132" s="7" t="s">
        <v>63</v>
      </c>
      <c r="D132" s="7" t="s">
        <v>358</v>
      </c>
      <c r="E132" s="7" t="s">
        <v>30</v>
      </c>
      <c r="F132" s="7" t="s">
        <v>359</v>
      </c>
      <c r="G132" s="12" t="s">
        <v>360</v>
      </c>
      <c r="H132" s="7"/>
    </row>
    <row r="133" customFormat="false" ht="26.85" hidden="false" customHeight="false" outlineLevel="0" collapsed="false">
      <c r="A133" s="7" t="n">
        <v>132</v>
      </c>
      <c r="B133" s="7" t="s">
        <v>4</v>
      </c>
      <c r="C133" s="7" t="s">
        <v>82</v>
      </c>
      <c r="D133" s="7" t="s">
        <v>207</v>
      </c>
      <c r="E133" s="7" t="s">
        <v>30</v>
      </c>
      <c r="F133" s="7" t="s">
        <v>361</v>
      </c>
      <c r="G133" s="12" t="s">
        <v>182</v>
      </c>
      <c r="H133" s="7"/>
    </row>
    <row r="134" customFormat="false" ht="26.85" hidden="false" customHeight="false" outlineLevel="0" collapsed="false">
      <c r="A134" s="13" t="n">
        <v>133</v>
      </c>
      <c r="B134" s="13" t="s">
        <v>4</v>
      </c>
      <c r="C134" s="13" t="s">
        <v>82</v>
      </c>
      <c r="D134" s="13" t="s">
        <v>362</v>
      </c>
      <c r="E134" s="13" t="s">
        <v>30</v>
      </c>
      <c r="F134" s="13" t="s">
        <v>363</v>
      </c>
      <c r="G134" s="12" t="s">
        <v>301</v>
      </c>
      <c r="H134" s="13" t="s">
        <v>78</v>
      </c>
    </row>
    <row r="135" customFormat="false" ht="26.85" hidden="false" customHeight="false" outlineLevel="0" collapsed="false">
      <c r="A135" s="7" t="n">
        <v>134</v>
      </c>
      <c r="B135" s="7" t="s">
        <v>4</v>
      </c>
      <c r="C135" s="7" t="s">
        <v>82</v>
      </c>
      <c r="D135" s="7" t="s">
        <v>364</v>
      </c>
      <c r="E135" s="7" t="s">
        <v>30</v>
      </c>
      <c r="F135" s="7" t="s">
        <v>365</v>
      </c>
      <c r="G135" s="12" t="s">
        <v>185</v>
      </c>
      <c r="H135" s="7"/>
    </row>
    <row r="136" customFormat="false" ht="26.85" hidden="false" customHeight="false" outlineLevel="0" collapsed="false">
      <c r="A136" s="7" t="n">
        <v>135</v>
      </c>
      <c r="B136" s="7" t="s">
        <v>4</v>
      </c>
      <c r="C136" s="7" t="s">
        <v>82</v>
      </c>
      <c r="D136" s="7" t="s">
        <v>366</v>
      </c>
      <c r="E136" s="7" t="s">
        <v>30</v>
      </c>
      <c r="F136" s="7" t="s">
        <v>367</v>
      </c>
      <c r="G136" s="12" t="s">
        <v>247</v>
      </c>
      <c r="H136" s="7"/>
    </row>
    <row r="137" customFormat="false" ht="26.85" hidden="false" customHeight="false" outlineLevel="0" collapsed="false">
      <c r="A137" s="7" t="n">
        <v>136</v>
      </c>
      <c r="B137" s="7" t="s">
        <v>4</v>
      </c>
      <c r="C137" s="7" t="s">
        <v>82</v>
      </c>
      <c r="D137" s="7" t="s">
        <v>368</v>
      </c>
      <c r="E137" s="7" t="s">
        <v>30</v>
      </c>
      <c r="F137" s="7" t="s">
        <v>369</v>
      </c>
      <c r="G137" s="12" t="s">
        <v>182</v>
      </c>
      <c r="H137" s="7"/>
    </row>
    <row r="138" customFormat="false" ht="26.85" hidden="false" customHeight="false" outlineLevel="0" collapsed="false">
      <c r="A138" s="7" t="n">
        <v>137</v>
      </c>
      <c r="B138" s="7" t="s">
        <v>5</v>
      </c>
      <c r="C138" s="7" t="s">
        <v>94</v>
      </c>
      <c r="D138" s="7" t="s">
        <v>258</v>
      </c>
      <c r="E138" s="7" t="s">
        <v>30</v>
      </c>
      <c r="F138" s="7" t="s">
        <v>31</v>
      </c>
      <c r="G138" s="12" t="s">
        <v>109</v>
      </c>
      <c r="H138" s="7"/>
    </row>
    <row r="139" customFormat="false" ht="26.85" hidden="false" customHeight="false" outlineLevel="0" collapsed="false">
      <c r="A139" s="7" t="n">
        <v>138</v>
      </c>
      <c r="B139" s="7" t="s">
        <v>5</v>
      </c>
      <c r="C139" s="7" t="s">
        <v>94</v>
      </c>
      <c r="D139" s="7" t="s">
        <v>258</v>
      </c>
      <c r="E139" s="7" t="s">
        <v>30</v>
      </c>
      <c r="F139" s="7" t="s">
        <v>370</v>
      </c>
      <c r="G139" s="12" t="s">
        <v>109</v>
      </c>
      <c r="H139" s="7"/>
    </row>
    <row r="140" customFormat="false" ht="26.85" hidden="false" customHeight="false" outlineLevel="0" collapsed="false">
      <c r="A140" s="13" t="n">
        <v>139</v>
      </c>
      <c r="B140" s="13" t="s">
        <v>3</v>
      </c>
      <c r="C140" s="13" t="s">
        <v>63</v>
      </c>
      <c r="D140" s="13" t="s">
        <v>156</v>
      </c>
      <c r="E140" s="13" t="s">
        <v>32</v>
      </c>
      <c r="F140" s="13" t="s">
        <v>371</v>
      </c>
      <c r="G140" s="12" t="s">
        <v>372</v>
      </c>
      <c r="H140" s="13" t="s">
        <v>78</v>
      </c>
    </row>
    <row r="141" customFormat="false" ht="26.85" hidden="false" customHeight="false" outlineLevel="0" collapsed="false">
      <c r="A141" s="7" t="n">
        <v>140</v>
      </c>
      <c r="B141" s="7" t="s">
        <v>3</v>
      </c>
      <c r="C141" s="7" t="s">
        <v>63</v>
      </c>
      <c r="D141" s="7" t="s">
        <v>373</v>
      </c>
      <c r="E141" s="7" t="s">
        <v>32</v>
      </c>
      <c r="F141" s="7" t="s">
        <v>374</v>
      </c>
      <c r="G141" s="12" t="s">
        <v>375</v>
      </c>
      <c r="H141" s="7"/>
    </row>
    <row r="142" customFormat="false" ht="26.85" hidden="false" customHeight="false" outlineLevel="0" collapsed="false">
      <c r="A142" s="7" t="n">
        <v>141</v>
      </c>
      <c r="B142" s="7" t="s">
        <v>3</v>
      </c>
      <c r="C142" s="7" t="s">
        <v>63</v>
      </c>
      <c r="D142" s="7" t="s">
        <v>72</v>
      </c>
      <c r="E142" s="7" t="s">
        <v>32</v>
      </c>
      <c r="F142" s="7" t="s">
        <v>33</v>
      </c>
      <c r="G142" s="12" t="s">
        <v>74</v>
      </c>
      <c r="H142" s="7"/>
    </row>
    <row r="143" customFormat="false" ht="26.85" hidden="false" customHeight="false" outlineLevel="0" collapsed="false">
      <c r="A143" s="7" t="n">
        <v>142</v>
      </c>
      <c r="B143" s="7" t="s">
        <v>3</v>
      </c>
      <c r="C143" s="7" t="s">
        <v>63</v>
      </c>
      <c r="D143" s="7" t="s">
        <v>245</v>
      </c>
      <c r="E143" s="7" t="s">
        <v>32</v>
      </c>
      <c r="F143" s="7" t="s">
        <v>376</v>
      </c>
      <c r="G143" s="12" t="s">
        <v>377</v>
      </c>
      <c r="H143" s="7"/>
    </row>
    <row r="144" customFormat="false" ht="26.85" hidden="false" customHeight="false" outlineLevel="0" collapsed="false">
      <c r="A144" s="7" t="n">
        <v>143</v>
      </c>
      <c r="B144" s="7" t="s">
        <v>3</v>
      </c>
      <c r="C144" s="7" t="s">
        <v>63</v>
      </c>
      <c r="D144" s="7" t="s">
        <v>340</v>
      </c>
      <c r="E144" s="7" t="s">
        <v>32</v>
      </c>
      <c r="F144" s="7" t="s">
        <v>378</v>
      </c>
      <c r="G144" s="12" t="s">
        <v>341</v>
      </c>
      <c r="H144" s="7"/>
    </row>
    <row r="145" customFormat="false" ht="26.85" hidden="false" customHeight="false" outlineLevel="0" collapsed="false">
      <c r="A145" s="7" t="n">
        <v>144</v>
      </c>
      <c r="B145" s="7" t="s">
        <v>3</v>
      </c>
      <c r="C145" s="7" t="s">
        <v>63</v>
      </c>
      <c r="D145" s="7" t="s">
        <v>379</v>
      </c>
      <c r="E145" s="7" t="s">
        <v>32</v>
      </c>
      <c r="F145" s="7" t="s">
        <v>380</v>
      </c>
      <c r="G145" s="12" t="s">
        <v>381</v>
      </c>
      <c r="H145" s="7"/>
    </row>
    <row r="146" customFormat="false" ht="26.85" hidden="false" customHeight="false" outlineLevel="0" collapsed="false">
      <c r="A146" s="7" t="n">
        <v>145</v>
      </c>
      <c r="B146" s="7" t="s">
        <v>4</v>
      </c>
      <c r="C146" s="7" t="s">
        <v>82</v>
      </c>
      <c r="D146" s="7" t="s">
        <v>382</v>
      </c>
      <c r="E146" s="7" t="s">
        <v>32</v>
      </c>
      <c r="F146" s="7" t="s">
        <v>383</v>
      </c>
      <c r="G146" s="12" t="s">
        <v>384</v>
      </c>
      <c r="H146" s="7"/>
    </row>
    <row r="147" customFormat="false" ht="26.85" hidden="false" customHeight="false" outlineLevel="0" collapsed="false">
      <c r="A147" s="7" t="n">
        <v>146</v>
      </c>
      <c r="B147" s="7" t="s">
        <v>4</v>
      </c>
      <c r="C147" s="7" t="s">
        <v>82</v>
      </c>
      <c r="D147" s="7" t="s">
        <v>385</v>
      </c>
      <c r="E147" s="7" t="s">
        <v>32</v>
      </c>
      <c r="F147" s="7" t="s">
        <v>386</v>
      </c>
      <c r="G147" s="12" t="s">
        <v>387</v>
      </c>
      <c r="H147" s="7"/>
    </row>
    <row r="148" customFormat="false" ht="26.85" hidden="false" customHeight="false" outlineLevel="0" collapsed="false">
      <c r="A148" s="7" t="n">
        <v>147</v>
      </c>
      <c r="B148" s="7" t="s">
        <v>4</v>
      </c>
      <c r="C148" s="7" t="s">
        <v>82</v>
      </c>
      <c r="D148" s="7" t="s">
        <v>241</v>
      </c>
      <c r="E148" s="7" t="s">
        <v>32</v>
      </c>
      <c r="F148" s="7" t="s">
        <v>388</v>
      </c>
      <c r="G148" s="12" t="s">
        <v>182</v>
      </c>
      <c r="H148" s="7"/>
    </row>
    <row r="149" customFormat="false" ht="26.85" hidden="false" customHeight="false" outlineLevel="0" collapsed="false">
      <c r="A149" s="13" t="n">
        <v>148</v>
      </c>
      <c r="B149" s="13" t="s">
        <v>4</v>
      </c>
      <c r="C149" s="13" t="s">
        <v>82</v>
      </c>
      <c r="D149" s="13" t="s">
        <v>389</v>
      </c>
      <c r="E149" s="13" t="s">
        <v>34</v>
      </c>
      <c r="F149" s="13" t="s">
        <v>390</v>
      </c>
      <c r="G149" s="12" t="s">
        <v>240</v>
      </c>
      <c r="H149" s="13" t="s">
        <v>78</v>
      </c>
    </row>
    <row r="150" customFormat="false" ht="26.85" hidden="false" customHeight="false" outlineLevel="0" collapsed="false">
      <c r="A150" s="13" t="n">
        <v>149</v>
      </c>
      <c r="B150" s="13" t="s">
        <v>4</v>
      </c>
      <c r="C150" s="13" t="s">
        <v>82</v>
      </c>
      <c r="D150" s="13" t="s">
        <v>391</v>
      </c>
      <c r="E150" s="13" t="s">
        <v>34</v>
      </c>
      <c r="F150" s="13" t="s">
        <v>392</v>
      </c>
      <c r="G150" s="12" t="s">
        <v>85</v>
      </c>
      <c r="H150" s="13" t="s">
        <v>78</v>
      </c>
    </row>
    <row r="151" customFormat="false" ht="26.85" hidden="false" customHeight="false" outlineLevel="0" collapsed="false">
      <c r="A151" s="13" t="n">
        <v>150</v>
      </c>
      <c r="B151" s="13" t="s">
        <v>4</v>
      </c>
      <c r="C151" s="13" t="s">
        <v>82</v>
      </c>
      <c r="D151" s="13" t="s">
        <v>393</v>
      </c>
      <c r="E151" s="13" t="s">
        <v>34</v>
      </c>
      <c r="F151" s="13" t="s">
        <v>394</v>
      </c>
      <c r="G151" s="12" t="s">
        <v>85</v>
      </c>
      <c r="H151" s="13" t="s">
        <v>78</v>
      </c>
    </row>
    <row r="152" customFormat="false" ht="39.55" hidden="false" customHeight="false" outlineLevel="0" collapsed="false">
      <c r="A152" s="7" t="n">
        <v>151</v>
      </c>
      <c r="B152" s="7" t="s">
        <v>5</v>
      </c>
      <c r="C152" s="7" t="s">
        <v>94</v>
      </c>
      <c r="D152" s="7" t="s">
        <v>304</v>
      </c>
      <c r="E152" s="7" t="s">
        <v>34</v>
      </c>
      <c r="F152" s="7" t="s">
        <v>395</v>
      </c>
      <c r="G152" s="12" t="s">
        <v>256</v>
      </c>
      <c r="H152" s="7"/>
    </row>
    <row r="153" customFormat="false" ht="26.85" hidden="false" customHeight="false" outlineLevel="0" collapsed="false">
      <c r="A153" s="7" t="n">
        <v>152</v>
      </c>
      <c r="B153" s="7" t="s">
        <v>5</v>
      </c>
      <c r="C153" s="7" t="s">
        <v>94</v>
      </c>
      <c r="D153" s="7" t="s">
        <v>304</v>
      </c>
      <c r="E153" s="7" t="s">
        <v>34</v>
      </c>
      <c r="F153" s="7" t="s">
        <v>396</v>
      </c>
      <c r="G153" s="12" t="s">
        <v>256</v>
      </c>
      <c r="H153" s="7"/>
    </row>
    <row r="154" customFormat="false" ht="26.85" hidden="false" customHeight="false" outlineLevel="0" collapsed="false">
      <c r="A154" s="7" t="n">
        <v>153</v>
      </c>
      <c r="B154" s="7" t="s">
        <v>5</v>
      </c>
      <c r="C154" s="7" t="s">
        <v>94</v>
      </c>
      <c r="D154" s="7" t="s">
        <v>304</v>
      </c>
      <c r="E154" s="7" t="s">
        <v>34</v>
      </c>
      <c r="F154" s="7" t="s">
        <v>35</v>
      </c>
      <c r="G154" s="12" t="s">
        <v>256</v>
      </c>
      <c r="H154" s="7"/>
    </row>
    <row r="155" customFormat="false" ht="26.85" hidden="false" customHeight="false" outlineLevel="0" collapsed="false">
      <c r="A155" s="7" t="n">
        <v>154</v>
      </c>
      <c r="B155" s="7" t="s">
        <v>5</v>
      </c>
      <c r="C155" s="7" t="s">
        <v>94</v>
      </c>
      <c r="D155" s="7" t="s">
        <v>304</v>
      </c>
      <c r="E155" s="7" t="s">
        <v>34</v>
      </c>
      <c r="F155" s="7" t="s">
        <v>397</v>
      </c>
      <c r="G155" s="12" t="s">
        <v>256</v>
      </c>
      <c r="H155" s="7"/>
    </row>
    <row r="156" customFormat="false" ht="26.85" hidden="false" customHeight="false" outlineLevel="0" collapsed="false">
      <c r="A156" s="13" t="n">
        <v>155</v>
      </c>
      <c r="B156" s="13" t="s">
        <v>3</v>
      </c>
      <c r="C156" s="13" t="s">
        <v>166</v>
      </c>
      <c r="D156" s="13" t="s">
        <v>316</v>
      </c>
      <c r="E156" s="13" t="s">
        <v>36</v>
      </c>
      <c r="F156" s="13" t="s">
        <v>398</v>
      </c>
      <c r="G156" s="12" t="s">
        <v>399</v>
      </c>
      <c r="H156" s="13" t="s">
        <v>78</v>
      </c>
    </row>
    <row r="157" customFormat="false" ht="26.85" hidden="false" customHeight="false" outlineLevel="0" collapsed="false">
      <c r="A157" s="7" t="n">
        <v>156</v>
      </c>
      <c r="B157" s="7" t="s">
        <v>3</v>
      </c>
      <c r="C157" s="7" t="s">
        <v>63</v>
      </c>
      <c r="D157" s="7" t="s">
        <v>400</v>
      </c>
      <c r="E157" s="7" t="s">
        <v>36</v>
      </c>
      <c r="F157" s="7" t="s">
        <v>37</v>
      </c>
      <c r="G157" s="12" t="s">
        <v>401</v>
      </c>
      <c r="H157" s="7"/>
    </row>
    <row r="158" customFormat="false" ht="26.85" hidden="false" customHeight="false" outlineLevel="0" collapsed="false">
      <c r="A158" s="13" t="n">
        <v>157</v>
      </c>
      <c r="B158" s="13" t="s">
        <v>3</v>
      </c>
      <c r="C158" s="13" t="s">
        <v>63</v>
      </c>
      <c r="D158" s="13" t="s">
        <v>124</v>
      </c>
      <c r="E158" s="13" t="s">
        <v>36</v>
      </c>
      <c r="F158" s="13" t="s">
        <v>402</v>
      </c>
      <c r="G158" s="12" t="s">
        <v>126</v>
      </c>
      <c r="H158" s="13" t="s">
        <v>78</v>
      </c>
    </row>
    <row r="159" customFormat="false" ht="26.85" hidden="false" customHeight="false" outlineLevel="0" collapsed="false">
      <c r="A159" s="7" t="n">
        <v>158</v>
      </c>
      <c r="B159" s="7" t="s">
        <v>4</v>
      </c>
      <c r="C159" s="7" t="s">
        <v>82</v>
      </c>
      <c r="D159" s="7" t="s">
        <v>403</v>
      </c>
      <c r="E159" s="7" t="s">
        <v>36</v>
      </c>
      <c r="F159" s="7" t="s">
        <v>404</v>
      </c>
      <c r="G159" s="12" t="s">
        <v>347</v>
      </c>
      <c r="H159" s="7"/>
    </row>
    <row r="160" customFormat="false" ht="26.85" hidden="false" customHeight="false" outlineLevel="0" collapsed="false">
      <c r="A160" s="7" t="n">
        <v>159</v>
      </c>
      <c r="B160" s="7" t="s">
        <v>5</v>
      </c>
      <c r="C160" s="7" t="s">
        <v>94</v>
      </c>
      <c r="D160" s="7" t="s">
        <v>193</v>
      </c>
      <c r="E160" s="7" t="s">
        <v>36</v>
      </c>
      <c r="F160" s="7" t="s">
        <v>405</v>
      </c>
      <c r="G160" s="12" t="s">
        <v>100</v>
      </c>
      <c r="H160" s="7"/>
    </row>
    <row r="161" customFormat="false" ht="26.85" hidden="false" customHeight="false" outlineLevel="0" collapsed="false">
      <c r="A161" s="7" t="n">
        <v>160</v>
      </c>
      <c r="B161" s="7" t="s">
        <v>3</v>
      </c>
      <c r="C161" s="7" t="s">
        <v>63</v>
      </c>
      <c r="D161" s="7" t="s">
        <v>163</v>
      </c>
      <c r="E161" s="7" t="s">
        <v>38</v>
      </c>
      <c r="F161" s="7" t="s">
        <v>406</v>
      </c>
      <c r="G161" s="12" t="s">
        <v>407</v>
      </c>
      <c r="H161" s="7"/>
    </row>
    <row r="162" customFormat="false" ht="26.85" hidden="false" customHeight="false" outlineLevel="0" collapsed="false">
      <c r="A162" s="7" t="n">
        <v>161</v>
      </c>
      <c r="B162" s="7" t="s">
        <v>4</v>
      </c>
      <c r="C162" s="7" t="s">
        <v>82</v>
      </c>
      <c r="D162" s="7" t="s">
        <v>408</v>
      </c>
      <c r="E162" s="7" t="s">
        <v>38</v>
      </c>
      <c r="F162" s="7" t="s">
        <v>39</v>
      </c>
      <c r="G162" s="12" t="s">
        <v>182</v>
      </c>
      <c r="H162" s="7"/>
    </row>
    <row r="163" customFormat="false" ht="26.85" hidden="false" customHeight="false" outlineLevel="0" collapsed="false">
      <c r="A163" s="7" t="n">
        <v>162</v>
      </c>
      <c r="B163" s="7" t="s">
        <v>4</v>
      </c>
      <c r="C163" s="7" t="s">
        <v>82</v>
      </c>
      <c r="D163" s="7" t="s">
        <v>409</v>
      </c>
      <c r="E163" s="7" t="s">
        <v>38</v>
      </c>
      <c r="F163" s="7" t="s">
        <v>410</v>
      </c>
      <c r="G163" s="12" t="s">
        <v>185</v>
      </c>
      <c r="H163" s="7"/>
    </row>
    <row r="164" customFormat="false" ht="26.85" hidden="false" customHeight="false" outlineLevel="0" collapsed="false">
      <c r="A164" s="7" t="n">
        <v>163</v>
      </c>
      <c r="B164" s="7" t="s">
        <v>5</v>
      </c>
      <c r="C164" s="7" t="s">
        <v>94</v>
      </c>
      <c r="D164" s="7" t="s">
        <v>411</v>
      </c>
      <c r="E164" s="7" t="s">
        <v>38</v>
      </c>
      <c r="F164" s="7" t="s">
        <v>412</v>
      </c>
      <c r="G164" s="12" t="s">
        <v>112</v>
      </c>
      <c r="H164" s="7"/>
    </row>
    <row r="165" customFormat="false" ht="26.85" hidden="false" customHeight="false" outlineLevel="0" collapsed="false">
      <c r="A165" s="7" t="n">
        <v>164</v>
      </c>
      <c r="B165" s="7" t="s">
        <v>3</v>
      </c>
      <c r="C165" s="7" t="s">
        <v>63</v>
      </c>
      <c r="D165" s="7" t="s">
        <v>413</v>
      </c>
      <c r="E165" s="7" t="s">
        <v>40</v>
      </c>
      <c r="F165" s="7" t="s">
        <v>41</v>
      </c>
      <c r="G165" s="12" t="s">
        <v>414</v>
      </c>
      <c r="H165" s="7"/>
    </row>
    <row r="166" customFormat="false" ht="26.85" hidden="false" customHeight="false" outlineLevel="0" collapsed="false">
      <c r="A166" s="7" t="n">
        <v>165</v>
      </c>
      <c r="B166" s="7" t="s">
        <v>4</v>
      </c>
      <c r="C166" s="7" t="s">
        <v>82</v>
      </c>
      <c r="D166" s="7" t="s">
        <v>415</v>
      </c>
      <c r="E166" s="7" t="s">
        <v>40</v>
      </c>
      <c r="F166" s="7" t="s">
        <v>416</v>
      </c>
      <c r="G166" s="12" t="s">
        <v>253</v>
      </c>
      <c r="H166" s="7"/>
    </row>
    <row r="167" customFormat="false" ht="26.85" hidden="false" customHeight="false" outlineLevel="0" collapsed="false">
      <c r="A167" s="7" t="n">
        <v>166</v>
      </c>
      <c r="B167" s="7" t="s">
        <v>4</v>
      </c>
      <c r="C167" s="7" t="s">
        <v>82</v>
      </c>
      <c r="D167" s="7" t="s">
        <v>417</v>
      </c>
      <c r="E167" s="7" t="s">
        <v>40</v>
      </c>
      <c r="F167" s="7" t="s">
        <v>418</v>
      </c>
      <c r="G167" s="12" t="s">
        <v>419</v>
      </c>
      <c r="H167" s="7"/>
    </row>
    <row r="168" customFormat="false" ht="26.85" hidden="false" customHeight="false" outlineLevel="0" collapsed="false">
      <c r="A168" s="7" t="n">
        <v>167</v>
      </c>
      <c r="B168" s="7" t="s">
        <v>5</v>
      </c>
      <c r="C168" s="7" t="s">
        <v>94</v>
      </c>
      <c r="D168" s="7" t="s">
        <v>67</v>
      </c>
      <c r="E168" s="7" t="s">
        <v>40</v>
      </c>
      <c r="F168" s="7" t="s">
        <v>420</v>
      </c>
      <c r="G168" s="12" t="s">
        <v>115</v>
      </c>
      <c r="H168" s="7"/>
    </row>
    <row r="169" customFormat="false" ht="26.85" hidden="false" customHeight="false" outlineLevel="0" collapsed="false">
      <c r="A169" s="7" t="n">
        <v>168</v>
      </c>
      <c r="B169" s="7" t="s">
        <v>5</v>
      </c>
      <c r="C169" s="7" t="s">
        <v>94</v>
      </c>
      <c r="D169" s="7" t="s">
        <v>104</v>
      </c>
      <c r="E169" s="7" t="s">
        <v>42</v>
      </c>
      <c r="F169" s="7" t="s">
        <v>421</v>
      </c>
      <c r="G169" s="12" t="s">
        <v>106</v>
      </c>
      <c r="H169" s="7"/>
    </row>
    <row r="170" customFormat="false" ht="26.85" hidden="false" customHeight="false" outlineLevel="0" collapsed="false">
      <c r="A170" s="7" t="n">
        <v>169</v>
      </c>
      <c r="B170" s="7" t="s">
        <v>5</v>
      </c>
      <c r="C170" s="7" t="s">
        <v>94</v>
      </c>
      <c r="D170" s="7" t="s">
        <v>422</v>
      </c>
      <c r="E170" s="7" t="s">
        <v>42</v>
      </c>
      <c r="F170" s="7" t="s">
        <v>423</v>
      </c>
      <c r="G170" s="12" t="s">
        <v>118</v>
      </c>
      <c r="H170" s="7"/>
    </row>
  </sheetData>
  <autoFilter ref="A1:H170"/>
  <hyperlinks>
    <hyperlink ref="G2" r:id="rId1" display="https://www.threads.com/@_eiryeenathasya/post/DKSjjXwhzFV"/>
    <hyperlink ref="G3" r:id="rId2" display="https://www.threads.com/@farhanaaneesa/post/DPvelJTkodi"/>
    <hyperlink ref="G4" r:id="rId3" display="https://www.threads.com/@frhnani.j/post/DP4KrJhgXy9"/>
    <hyperlink ref="G5" r:id="rId4" display="https://www.threads.com/@syasyamazalan_/post/DYuSzWOkmME"/>
    <hyperlink ref="G6" r:id="rId5" display="https://www.threads.com/@symimo_/post/DcANkLPD3Ys"/>
    <hyperlink ref="G7" r:id="rId6" display="https://www.threads.com/@syamsul.izzat/post/Ddki4HVnxGQ"/>
    <hyperlink ref="G8" r:id="rId7" display="https://www.tiktok.com/@salam_coway/video/7516809339831684370"/>
    <hyperlink ref="G9" r:id="rId8" display="https://www.tiktok.com/@vonomalaysia/video/7534988212297682183"/>
    <hyperlink ref="G10" r:id="rId9" display="https://www.tiktok.com/@kudean.zainalhome/video/7673444572055309576"/>
    <hyperlink ref="G11" r:id="rId10" display="https://www.tiktok.com/@kudean.zainalhome/video/7673444572055309576"/>
    <hyperlink ref="G12" r:id="rId11" display="https://forum.lowyat.net/topic/843907/+440"/>
    <hyperlink ref="G13" r:id="rId12" display="https://forum.lowyat.net/topic/843907/+6260"/>
    <hyperlink ref="G14" r:id="rId13" display="https://forum.lowyat.net/topic/843907/+6487"/>
    <hyperlink ref="G15" r:id="rId14" display="https://forum.lowyat.net/topic/843907/+6520"/>
    <hyperlink ref="G16" r:id="rId15" display="https://forum.lowyat.net/topic/843907/+6960"/>
    <hyperlink ref="G17" r:id="rId16" display="https://forum.lowyat.net/topic/843907/+7487"/>
    <hyperlink ref="G18" r:id="rId17" display="https://forum.lowyat.net/topic/843907/+7980"/>
    <hyperlink ref="G19" r:id="rId18" display="https://forum.lowyat.net/topic/843907/+8000"/>
    <hyperlink ref="G20" r:id="rId19" display="https://forum.lowyat.net/topic/843907/+8000"/>
    <hyperlink ref="G21" r:id="rId20" display="https://www.threads.com/@nyaklisa/post/DPFZrHzklHq"/>
    <hyperlink ref="G22" r:id="rId21" display="https://www.threads.com/@lillyaamzn/post/DZKfor-GNUw"/>
    <hyperlink ref="G23" r:id="rId22" display="https://www.tiktok.com/@_syaifulaiman/video/7599517592411360520"/>
    <hyperlink ref="G24" r:id="rId23" display="https://www.tiktok.com/@salam_coway/video/7516809339831684370"/>
    <hyperlink ref="G25" r:id="rId24" display="https://www.tiktok.com/@salam_coway/video/7516809339831684370"/>
    <hyperlink ref="G26" r:id="rId25" display="https://www.tiktok.com/@myeidris/video/7297156857053908232"/>
    <hyperlink ref="G27" r:id="rId26" display="https://www.tiktok.com/@vonomalaysia/video/7527122276873981185"/>
    <hyperlink ref="G28" r:id="rId27" display="https://www.tiktok.com/@me_alisya/video/7594685728978701576"/>
    <hyperlink ref="G29" r:id="rId28" display="https://forum.lowyat.net/topic/843907/+6260"/>
    <hyperlink ref="G30" r:id="rId29" display="https://forum.lowyat.net/topic/843907/+6260"/>
    <hyperlink ref="G31" r:id="rId30" display="https://forum.lowyat.net/topic/843907/+6260"/>
    <hyperlink ref="G32" r:id="rId31" display="https://forum.lowyat.net/topic/843907/+6520"/>
    <hyperlink ref="G33" r:id="rId32" display="https://forum.lowyat.net/topic/843907/+6960"/>
    <hyperlink ref="G34" r:id="rId33" display="https://forum.lowyat.net/topic/843907/+6960"/>
    <hyperlink ref="G35" r:id="rId34" display="https://forum.lowyat.net/topic/843907/+6960"/>
    <hyperlink ref="G36" r:id="rId35" display="https://forum.lowyat.net/topic/843907/+7487"/>
    <hyperlink ref="G37" r:id="rId36" display="https://forum.lowyat.net/topic/843907/+7980"/>
    <hyperlink ref="G38" r:id="rId37" display="https://forum.lowyat.net/topic/843907/+7980"/>
    <hyperlink ref="G39" r:id="rId38" display="https://forum.lowyat.net/topic/843907/+8000"/>
    <hyperlink ref="G40" r:id="rId39" display="https://www.threads.com/@nizamtalks/post/DGgGCefPRZT"/>
    <hyperlink ref="G41" r:id="rId40" display="https://www.threads.com/@milieeeeeyy/post/DZWGrv0kyUP"/>
    <hyperlink ref="G42" r:id="rId41" display="https://www.threads.com/@miramazlan___/post/DZW368IEsC-"/>
    <hyperlink ref="G43" r:id="rId42" display="https://www.threads.com/@me_kinna/post/Dc96YB1kuwL"/>
    <hyperlink ref="G44" r:id="rId43" display="https://www.tiktok.com/@drzahir.ortho/video/7359054445277203730"/>
    <hyperlink ref="G45" r:id="rId44" display="https://www.tiktok.com/@salam_coway/video/7516809339831684370"/>
    <hyperlink ref="G46" r:id="rId45" display="https://www.tiktok.com/@salam_coway/video/7516809339831684370"/>
    <hyperlink ref="G47" r:id="rId46" display="https://www.tiktok.com/@drzahir.ortho/video/7359054445277203730"/>
    <hyperlink ref="G48" r:id="rId47" display="https://www.tiktok.com/@fiqahar/video/7632990429172092181"/>
    <hyperlink ref="G49" r:id="rId48" display="https://www.tiktok.com/@ajmal_legacy/video/7647945200601468168"/>
    <hyperlink ref="G50" r:id="rId49" display="https://www.tiktok.com/@vonomalaysia/video/7527122276873981185"/>
    <hyperlink ref="G51" r:id="rId50" display="https://www.tiktok.com/@te4hhh._/video/7677509010823646485"/>
    <hyperlink ref="G52" r:id="rId51" display="https://forum.lowyat.net/topic/843907/+6260"/>
    <hyperlink ref="G53" r:id="rId52" display="https://forum.lowyat.net/topic/843907/+6260"/>
    <hyperlink ref="G54" r:id="rId53" display="https://forum.lowyat.net/topic/843907/+6520"/>
    <hyperlink ref="G55" r:id="rId54" display="https://forum.lowyat.net/topic/843907/+7487"/>
    <hyperlink ref="G56" r:id="rId55" display="https://forum.lowyat.net/topic/843907/+7487"/>
    <hyperlink ref="G57" r:id="rId56" display="https://forum.lowyat.net/topic/843907/+8000"/>
    <hyperlink ref="G58" r:id="rId57" display="https://www.threads.com/@razip_zainijasri/post/DMHPrSKRgVd"/>
    <hyperlink ref="G59" r:id="rId58" display="https://www.threads.com/@ainaajemal_/post/DTu-bKyCbSI"/>
    <hyperlink ref="G60" r:id="rId59" display="https://www.threads.com/@wanemirul13/post/DTuluUwkgxv"/>
    <hyperlink ref="G61" r:id="rId60" display="https://www.threads.com/@dy.diyana/post/DYFZjg8E-F1"/>
    <hyperlink ref="G62" r:id="rId61" display="https://www.tiktok.com/@drzahir.ortho/video/7359054445277203730"/>
    <hyperlink ref="G63" r:id="rId62" display="https://www.tiktok.com/@goodniteofficial/video/7511316860990737682"/>
    <hyperlink ref="G64" r:id="rId63" display="https://www.tiktok.com/@me_alisya/video/7594685728978701576"/>
    <hyperlink ref="G65" r:id="rId64" display="https://www.tiktok.com/@kudean.zainalhome/video/7673444572055309576"/>
    <hyperlink ref="G66" r:id="rId65" display="https://forum.lowyat.net/topic/843907/+6960"/>
    <hyperlink ref="G67" r:id="rId66" display="https://forum.lowyat.net/topic/843907/+6960"/>
    <hyperlink ref="G68" r:id="rId67" display="https://forum.lowyat.net/topic/843907/+7487"/>
    <hyperlink ref="G69" r:id="rId68" display="https://forum.lowyat.net/topic/843907/+7487"/>
    <hyperlink ref="G70" r:id="rId69" display="https://forum.lowyat.net/topic/843907/+7487"/>
    <hyperlink ref="G71" r:id="rId70" display="https://forum.lowyat.net/topic/843907/+7980"/>
    <hyperlink ref="G72" r:id="rId71" display="https://forum.lowyat.net/topic/843907/+8000"/>
    <hyperlink ref="G73" r:id="rId72" display="https://www.threads.com/@farhana_ramli/post/DOK4zDbCQ2T"/>
    <hyperlink ref="G74" r:id="rId73" display="https://www.threads.com/@ainaajemal_/post/DTt9xhkCclI"/>
    <hyperlink ref="G75" r:id="rId74" display="https://www.threads.com/@noraariffin_/post/DZtXoAME7rN"/>
    <hyperlink ref="G76" r:id="rId75" display="https://www.threads.com/@leoinhis24/post/Dd_ty6WE1C2"/>
    <hyperlink ref="G77" r:id="rId76" display="https://www.tiktok.com/@amirul_coway_/video/7408816814542687505"/>
    <hyperlink ref="G78" r:id="rId77" display="https://www.tiktok.com/@fiqahar/video/7632990429172092181"/>
    <hyperlink ref="G79" r:id="rId78" display="https://www.tiktok.com/@ajmal_legacy/video/7647945200601468168"/>
    <hyperlink ref="G80" r:id="rId79" display="https://www.tiktok.com/@jielaracuntiktok/video/7655255475436424455"/>
    <hyperlink ref="G81" r:id="rId80" display="https://www.tiktok.com/@nasuharazali05/video/7643081281894419720"/>
    <hyperlink ref="G82" r:id="rId81" display="https://www.tiktok.com/@hairulvcool/video/7661054206257745170"/>
    <hyperlink ref="G83" r:id="rId82" display="https://forum.lowyat.net/topic/843907/+4920"/>
    <hyperlink ref="G84" r:id="rId83" display="https://forum.lowyat.net/topic/843907/+6520"/>
    <hyperlink ref="G85" r:id="rId84" display="https://forum.lowyat.net/topic/843907/+6960"/>
    <hyperlink ref="G86" r:id="rId85" display="https://www.threads.com/@ommiraiyan/post/DTblhclk9Cm"/>
    <hyperlink ref="G87" r:id="rId86" display="https://www.threads.com/@aizawahab/post/DcBtUSglP_H"/>
    <hyperlink ref="G88" r:id="rId87" display="https://www.threads.com/@iamabangjai/post/DdiLbPomV04"/>
    <hyperlink ref="G89" r:id="rId88" display="https://www.threads.com/@qilahnis/post/Ddpr9igGOFj"/>
    <hyperlink ref="G90" r:id="rId89" display="https://www.tiktok.com/@amirul_coway_/video/7283047892829457665"/>
    <hyperlink ref="G91" r:id="rId90" display="https://www.tiktok.com/@sultera.official/video/7427039598104136967"/>
    <hyperlink ref="G92" r:id="rId91" display="https://www.tiktok.com/@amirul_coway_/video/7442192131587886354"/>
    <hyperlink ref="G93" r:id="rId92" display="https://www.tiktok.com/@sultera.official/video/7427039598104136967"/>
    <hyperlink ref="G94" r:id="rId93" display="https://www.tiktok.com/@red.kleenz/video/7655932419291352341"/>
    <hyperlink ref="G95" r:id="rId94" display="https://www.tiktok.com/@red.kleenz/video/7655932419291352341"/>
    <hyperlink ref="G96" r:id="rId95" display="https://forum.lowyat.net/topic/843907/+6960"/>
    <hyperlink ref="G97" r:id="rId96" display="https://forum.lowyat.net/topic/843907/+7487"/>
    <hyperlink ref="G98" r:id="rId97" display="https://www.threads.com/@rafidahsamat/post/DORE_lRk0J0"/>
    <hyperlink ref="G99" r:id="rId98" display="https://www.tiktok.com/@reshlikespie/video/7393974696586251536"/>
    <hyperlink ref="G100" r:id="rId99" display="https://www.tiktok.com/@amirul_coway_/video/7408816814542687505"/>
    <hyperlink ref="G101" r:id="rId100" display="https://www.tiktok.com/@amirul_coway_/video/7408816814542687505"/>
    <hyperlink ref="G102" r:id="rId101" display="https://www.tiktok.com/@_syaifulaiman/video/7490791598377291026"/>
    <hyperlink ref="G103" r:id="rId102" display="https://www.tiktok.com/@red.kleenz/video/7655932419291352341"/>
    <hyperlink ref="G104" r:id="rId103" display="https://forum.lowyat.net/topic/843907/+4920"/>
    <hyperlink ref="G105" r:id="rId104" display="https://forum.lowyat.net/topic/843907/+6260"/>
    <hyperlink ref="G106" r:id="rId105" display="https://forum.lowyat.net/topic/843907/+6260"/>
    <hyperlink ref="G107" r:id="rId106" display="https://forum.lowyat.net/topic/843907/+6520"/>
    <hyperlink ref="G108" r:id="rId107" display="https://forum.lowyat.net/topic/843907/+6960"/>
    <hyperlink ref="G109" r:id="rId108" display="https://forum.lowyat.net/topic/843907/+8000"/>
    <hyperlink ref="G110" r:id="rId109" display="https://www.threads.com/@vicky.littlewolf/post/DOK0cDFAXFT"/>
    <hyperlink ref="G111" r:id="rId110" display="https://www.threads.com/@tuanlxkmxn/post/DOQO10bEf8y"/>
    <hyperlink ref="G112" r:id="rId111" display="https://www.threads.com/@tahribat_uzay/post/DOSoe7EkVGs"/>
    <hyperlink ref="G113" r:id="rId112" display="https://www.threads.com/@ysmnikhsan/post/DOUq1dKkmPz"/>
    <hyperlink ref="G114" r:id="rId113" display="https://www.threads.com/@ezuee_/post/DOTw6g_Enl2"/>
    <hyperlink ref="G115" r:id="rId114" display="https://www.threads.com/@_jemahsyantik_/post/DOUF-BriuLn"/>
    <hyperlink ref="G116" r:id="rId115" display="https://www.threads.com/@me_kinna/post/Dc98vqAkgJy"/>
    <hyperlink ref="G117" r:id="rId116" display="https://www.tiktok.com/@salam_coway/video/7516809339831684370"/>
    <hyperlink ref="G118" r:id="rId117" display="https://www.tiktok.com/@_syaifulaiman/video/7490791598377291026"/>
    <hyperlink ref="G119" r:id="rId118" display="https://www.tiktok.com/@red.kleenz/video/7655932419291352341"/>
    <hyperlink ref="G120" r:id="rId119" display="https://www.tiktok.com/@red.kleenz/video/7655932419291352341"/>
    <hyperlink ref="G121" r:id="rId120" display="https://www.tiktok.com/@red.kleenz/video/7655932419291352341"/>
    <hyperlink ref="G122" r:id="rId121" display="https://www.threads.com/@nabilaaina/post/DP42AMnkg96"/>
    <hyperlink ref="G123" r:id="rId122" display="https://www.threads.com/@mattjehe/post/DP5apwokyh9"/>
    <hyperlink ref="G124" r:id="rId123" display="https://www.threads.com/@hanisahrizal/post/DblC4DYibVB"/>
    <hyperlink ref="G125" r:id="rId124" display="https://www.threads.com/@yourb4bys/post/DdJHpnhEtY9"/>
    <hyperlink ref="G126" r:id="rId125" display="https://www.tiktok.com/@adidedino/video/7570342160369863943"/>
    <hyperlink ref="G127" r:id="rId126" display="https://www.tiktok.com/@hairulvcool/video/7661054206257745170"/>
    <hyperlink ref="G128" r:id="rId127" display="https://forum.lowyat.net/topic/843907/+1840"/>
    <hyperlink ref="G129" r:id="rId128" display="https://forum.lowyat.net/topic/843907/+6487"/>
    <hyperlink ref="G130" r:id="rId129" display="https://forum.lowyat.net/topic/843907/+7487"/>
    <hyperlink ref="G131" r:id="rId130" display="https://www.threads.com/@mzxlfkr_h/post/DVUklqKEsen"/>
    <hyperlink ref="G132" r:id="rId131" display="https://www.threads.com/@arinaaqaisara/post/DclSs6ziah7"/>
    <hyperlink ref="G133" r:id="rId132" display="https://www.tiktok.com/@fiqahar/video/7632990429172092181"/>
    <hyperlink ref="G134" r:id="rId133" display="https://www.tiktok.com/@_syaifulaiman/video/7490791598377291026"/>
    <hyperlink ref="G135" r:id="rId134" display="https://www.tiktok.com/@ajmal_legacy/video/7647945200601468168"/>
    <hyperlink ref="G136" r:id="rId135" display="https://www.tiktok.com/@jielaracuntiktok/video/7655255475436424455"/>
    <hyperlink ref="G137" r:id="rId136" display="https://www.tiktok.com/@fiqahar/video/7632990429172092181"/>
    <hyperlink ref="G138" r:id="rId137" display="https://forum.lowyat.net/topic/843907/+6960"/>
    <hyperlink ref="G139" r:id="rId138" display="https://forum.lowyat.net/topic/843907/+6960"/>
    <hyperlink ref="G140" r:id="rId139" display="https://www.threads.com/@nisa.fkb/post/DOKsR-Sk3rp"/>
    <hyperlink ref="G141" r:id="rId140" display="https://www.threads.com/@_nunanunha_/post/DUzulzckt05"/>
    <hyperlink ref="G142" r:id="rId141" display="https://www.threads.com/@syasyamazalan_/post/DYuSzWOkmME"/>
    <hyperlink ref="G143" r:id="rId142" display="https://www.threads.com/@lena2_318/post/DaO_fV4k0w5"/>
    <hyperlink ref="G144" r:id="rId143" display="https://www.threads.com/@hanisahrizal/post/DblC4DYibVB"/>
    <hyperlink ref="G145" r:id="rId144" display="https://www.threads.com/@thehbkx/post/DdnO5FympzI"/>
    <hyperlink ref="G146" r:id="rId145" display="https://www.tiktok.com/@reen.izar/video/7424456033847889169"/>
    <hyperlink ref="G147" r:id="rId146" display="https://www.tiktok.com/@faith_chuah/video/7529867931262389522"/>
    <hyperlink ref="G148" r:id="rId147" display="https://www.tiktok.com/@fiqahar/video/7632990429172092181"/>
    <hyperlink ref="G149" r:id="rId148" display="https://www.tiktok.com/@amirul_coway_/video/7408816814542687505"/>
    <hyperlink ref="G150" r:id="rId149" display="https://www.tiktok.com/@salam_coway/video/7516809339831684370"/>
    <hyperlink ref="G151" r:id="rId150" display="https://www.tiktok.com/@salam_coway/video/7516809339831684370"/>
    <hyperlink ref="G152" r:id="rId151" display="https://forum.lowyat.net/topic/843907/+4920"/>
    <hyperlink ref="G153" r:id="rId152" display="https://forum.lowyat.net/topic/843907/+4920"/>
    <hyperlink ref="G154" r:id="rId153" display="https://forum.lowyat.net/topic/843907/+4920"/>
    <hyperlink ref="G155" r:id="rId154" display="https://forum.lowyat.net/topic/843907/+4920"/>
    <hyperlink ref="G156" r:id="rId155" display="https://www.threads.com/@ebby_mohfat/post/DOQniJJk5Xl"/>
    <hyperlink ref="G157" r:id="rId156" display="https://www.threads.com/@dear_nazura/post/DVOd5U0krSl"/>
    <hyperlink ref="G158" r:id="rId157" display="https://www.threads.com/@lillyaamzn/post/DZKfor-GNUw"/>
    <hyperlink ref="G159" r:id="rId158" display="https://www.tiktok.com/@adidedino/video/7570342160369863943"/>
    <hyperlink ref="G160" r:id="rId159" display="https://forum.lowyat.net/topic/843907/+6260"/>
    <hyperlink ref="G161" r:id="rId160" display="https://www.threads.com/@dayanghidayah__/post/DZXjWCFD9h_"/>
    <hyperlink ref="G162" r:id="rId161" display="https://www.tiktok.com/@fiqahar/video/7632990429172092181"/>
    <hyperlink ref="G163" r:id="rId162" display="https://www.tiktok.com/@ajmal_legacy/video/7647945200601468168"/>
    <hyperlink ref="G164" r:id="rId163" display="https://forum.lowyat.net/topic/843907/+7487"/>
    <hyperlink ref="G165" r:id="rId164" display="https://www.threads.com/@eleenasanusi/post/Dc7rKrQiVLr"/>
    <hyperlink ref="G166" r:id="rId165" display="https://www.tiktok.com/@hairulvcool/video/7661054206257745170"/>
    <hyperlink ref="G167" r:id="rId166" display="https://www.tiktok.com/@diyanaizan26/video/7654588223083023636"/>
    <hyperlink ref="G168" r:id="rId167" display="https://forum.lowyat.net/topic/843907/+7980"/>
    <hyperlink ref="G169" r:id="rId168" display="https://forum.lowyat.net/topic/843907/+6520"/>
    <hyperlink ref="G170" r:id="rId169" display="https://forum.lowyat.net/topic/843907/+80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1" t="s">
        <v>424</v>
      </c>
      <c r="B1" s="11" t="s">
        <v>425</v>
      </c>
    </row>
    <row r="2" customFormat="false" ht="26.85" hidden="false" customHeight="false" outlineLevel="0" collapsed="false">
      <c r="A2" s="14" t="s">
        <v>426</v>
      </c>
      <c r="B2" s="14" t="s">
        <v>427</v>
      </c>
    </row>
    <row r="3" customFormat="false" ht="26.85" hidden="false" customHeight="false" outlineLevel="0" collapsed="false">
      <c r="A3" s="14" t="s">
        <v>3</v>
      </c>
      <c r="B3" s="14" t="s">
        <v>428</v>
      </c>
    </row>
    <row r="4" customFormat="false" ht="39.55" hidden="false" customHeight="false" outlineLevel="0" collapsed="false">
      <c r="A4" s="14" t="s">
        <v>4</v>
      </c>
      <c r="B4" s="14" t="s">
        <v>429</v>
      </c>
    </row>
    <row r="5" customFormat="false" ht="15" hidden="false" customHeight="false" outlineLevel="0" collapsed="false">
      <c r="A5" s="14" t="s">
        <v>5</v>
      </c>
      <c r="B5" s="14" t="s">
        <v>430</v>
      </c>
    </row>
    <row r="6" customFormat="false" ht="15" hidden="false" customHeight="false" outlineLevel="0" collapsed="false">
      <c r="A6" s="14" t="s">
        <v>431</v>
      </c>
      <c r="B6" s="14" t="s">
        <v>432</v>
      </c>
    </row>
    <row r="7" customFormat="false" ht="15" hidden="false" customHeight="false" outlineLevel="0" collapsed="false">
      <c r="A7" s="14" t="s">
        <v>60</v>
      </c>
      <c r="B7" s="14" t="s">
        <v>433</v>
      </c>
    </row>
    <row r="8" customFormat="false" ht="26.85" hidden="false" customHeight="false" outlineLevel="0" collapsed="false">
      <c r="A8" s="14" t="s">
        <v>6</v>
      </c>
      <c r="B8" s="14" t="s">
        <v>434</v>
      </c>
    </row>
    <row r="9" customFormat="false" ht="26.85" hidden="false" customHeight="false" outlineLevel="0" collapsed="false">
      <c r="A9" s="14" t="s">
        <v>435</v>
      </c>
      <c r="B9" s="14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2026-10-06T00:53:42Z</dcterms:created>
  <dc:creator>openpyxl</dc:creator>
  <dc:description/>
  <dc:language>en-US</dc:language>
  <cp:lastModifiedBy/>
  <dcterms:modified xsi:type="dcterms:W3CDTF">2026-10-06T00:53:42Z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