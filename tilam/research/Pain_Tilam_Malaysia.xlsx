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Ayat Pain" sheetId="2" state="visible" r:id="rId4"/>
    <sheet name="Nota" sheetId="3" state="visible" r:id="rId5"/>
  </sheets>
  <definedNames>
    <definedName function="false" hidden="true" localSheetId="1" name="_xlnm._FilterDatabase" vbProcedure="false">'Ayat Pain'!$A$1:$F$59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<sst xmlns="http://schemas.openxmlformats.org/spreadsheetml/2006/main" count="356" uniqueCount="159">
  <si>
    <t xml:space="preserve">Pain Mining: Tilam (Malaysia)</t>
  </si>
  <si>
    <t xml:space="preserve">Sumber: forum Lowyat, thread 'Household Mattress, which brand to go for?' (2017–2025). Kiraan di bawah dikira terus dari tab 'Ayat Pain'.</t>
  </si>
  <si>
    <t xml:space="preserve">Jumlah ayat pain</t>
  </si>
  <si>
    <t xml:space="preserve">Kategori pain</t>
  </si>
  <si>
    <t xml:space="preserve">Bil. ayat</t>
  </si>
  <si>
    <t xml:space="preserve">% daripada jumlah</t>
  </si>
  <si>
    <t xml:space="preserve">Contoh ayat paling kuat</t>
  </si>
  <si>
    <t xml:space="preserve">Terlalu lembut / keras</t>
  </si>
  <si>
    <t xml:space="preserve">I did. I guess everyone's definition of firm/hard is different.</t>
  </si>
  <si>
    <t xml:space="preserve">Harga / takut rugi</t>
  </si>
  <si>
    <t xml:space="preserve">And is there really significant differences in quality between price bracket of 3-5k mattress vs 8-10k mattress?</t>
  </si>
  <si>
    <t xml:space="preserve">Maklumat produk kurang / keliru memilih</t>
  </si>
  <si>
    <t xml:space="preserve">Too many mattress in market dunno which one suppose to test/buy...</t>
  </si>
  <si>
    <t xml:space="preserve">Sakit belakang / badan</t>
  </si>
  <si>
    <t xml:space="preserve">After less than 1 month, i started having back issues.</t>
  </si>
  <si>
    <t xml:space="preserve">Jurujual / harga tak telus</t>
  </si>
  <si>
    <t xml:space="preserve">A quick shop around reveal the price is actually RM1.2k (the initial shop try to chop chop me).</t>
  </si>
  <si>
    <t xml:space="preserve">Waranti mengelirukan</t>
  </si>
  <si>
    <t xml:space="preserve">re-sellers claim 10 yr warranty means 1-to-1 replacement, but Getha themselves say they'll repair it (typically by putting in more foam)</t>
  </si>
  <si>
    <t xml:space="preserve">Mendap / lekuk</t>
  </si>
  <si>
    <t xml:space="preserve">How do they feel after 6 months / 1year of usage? Still firm or dented already?</t>
  </si>
  <si>
    <t xml:space="preserve">Kualiti / ketahanan</t>
  </si>
  <si>
    <t xml:space="preserve">I touch the side of the mattress, it looks so cheap that can I touch the spring directly.</t>
  </si>
  <si>
    <t xml:space="preserve">Kotor / kebersihan</t>
  </si>
  <si>
    <t xml:space="preserve">i only sit on the display bed so far (i afraid too many ppl lay down have virus on bed)</t>
  </si>
  <si>
    <t xml:space="preserve">Pilihan / akses terhad</t>
  </si>
  <si>
    <t xml:space="preserve">Hard to find mattress shop here</t>
  </si>
  <si>
    <t xml:space="preserve">Penghantaran / angkut</t>
  </si>
  <si>
    <t xml:space="preserve">I can only consider mattress in the box due to having low ceiling and narrow staircase at my house.</t>
  </si>
  <si>
    <t xml:space="preserve">Panas / tak sejuk</t>
  </si>
  <si>
    <t xml:space="preserve">I sleep without the AC, and use a single fan in my room so I'd like something that retains coolness.</t>
  </si>
  <si>
    <t xml:space="preserve">Menyesal / tak boleh pulang</t>
  </si>
  <si>
    <t xml:space="preserve">Highly regretting buying that bed, but i got zero idea what to do next (throw and buy something more expensive???!)</t>
  </si>
  <si>
    <t xml:space="preserve">Gangguan pasangan</t>
  </si>
  <si>
    <t xml:space="preserve">has low disturbance as I like to toss and turn until I sleep.</t>
  </si>
  <si>
    <t xml:space="preserve">Jumlah</t>
  </si>
  <si>
    <t xml:space="preserve">Apa maksudnya: peluang produk / mesej</t>
  </si>
  <si>
    <t xml:space="preserve">(Tafsiran Claude daripada data di atas, bukan petikan.)</t>
  </si>
  <si>
    <t xml:space="preserve">1. Orang tak faham 'keras vs firm vs medium'</t>
  </si>
  <si>
    <t xml:space="preserve">Kumpulan terbesar. Ramai beli ikut label kekerasan, lepas tu menyesal sebab label setiap jenama lain-lain. Peluang: kuiz/padanan tilam ikut posisi tidur + berat badan, atau jual dengan percubaan tidur di rumah. Topper boleh jadi produk 'pembetul' untuk yang dah tersalah beli.</t>
  </si>
  <si>
    <t xml:space="preserve">2. Takut rugi + tak percaya jurujual</t>
  </si>
  <si>
    <t xml:space="preserve">Gabungan harga, jurujual dan waranti ialah tema paling besar kalau dikira bersama. Orang tak pasti beza tilam RM3k vs RM8k, dan rasa harga showroom 'dicekik'. Peluang: harga telus, perbandingan jujur, polisi pulang/refund yang jelas.</t>
  </si>
  <si>
    <t xml:space="preserve">3. Sakit belakang ialah pencetus beli</t>
  </si>
  <si>
    <t xml:space="preserve">Ramai mula cari tilam sebab sakit belakang atau pasangan sakit. Mesej 'sokongan tulang belakang' kena, tapi elak janji perubatan.</t>
  </si>
  <si>
    <t xml:space="preserve">4. Waranti &amp; mendap</t>
  </si>
  <si>
    <t xml:space="preserve">Syarat waranti (mesti lekuk 1.5 inci, rangka katil 'sesuai', bayar sebahagian kos baiki) buat orang curiga. Peluang: waranti ringkas yang mudah difahami jadi pembeza.</t>
  </si>
  <si>
    <t xml:space="preserve">5. Isu kecil tapi spesifik</t>
  </si>
  <si>
    <t xml:space="preserve">Bilik panas tanpa aircond, tangga sempit (tilam dalam kotak), kawasan kecil susah cari kedai, kebersihan tilam display. Sesuai jadi sudut iklan atau kandungan niche.</t>
  </si>
  <si>
    <t xml:space="preserve">No</t>
  </si>
  <si>
    <t xml:space="preserve">Platform</t>
  </si>
  <si>
    <t xml:space="preserve">Tarikh</t>
  </si>
  <si>
    <t xml:space="preserve">Kategori</t>
  </si>
  <si>
    <t xml:space="preserve">Ayat (verbatim)</t>
  </si>
  <si>
    <t xml:space="preserve">Link sumber</t>
  </si>
  <si>
    <t xml:space="preserve">Lowyat</t>
  </si>
  <si>
    <t xml:space="preserve">2020-01-11</t>
  </si>
  <si>
    <t xml:space="preserve">a little bit on the soft side but it's comfy as it has 2 inch latex at the top but not sure if it's good for the spine</t>
  </si>
  <si>
    <t xml:space="preserve">https://forum.lowyat.net/topic/843907/+6260</t>
  </si>
  <si>
    <t xml:space="preserve">2020-02-02</t>
  </si>
  <si>
    <t xml:space="preserve">Now Aerofoam Jade when I sit on it it sinks - isn't that soft...?</t>
  </si>
  <si>
    <t xml:space="preserve">2020-09-18</t>
  </si>
  <si>
    <t xml:space="preserve">Anyone can suggest a good mattress that is firm and soft at the same time</t>
  </si>
  <si>
    <t xml:space="preserve">https://forum.lowyat.net/topic/843907/+6520</t>
  </si>
  <si>
    <t xml:space="preserve">2021-12-16</t>
  </si>
  <si>
    <t xml:space="preserve">are those nice hotel mattress suitable for home use? could it be too soft/comfy good for a few days sleep. but for long term might not provide enough support.</t>
  </si>
  <si>
    <t xml:space="preserve">https://forum.lowyat.net/topic/843907/+6960</t>
  </si>
  <si>
    <t xml:space="preserve">2021-12-31</t>
  </si>
  <si>
    <t xml:space="preserve">Wish to have firm mattress (not hard) without sacrificing much on the comfort.</t>
  </si>
  <si>
    <t xml:space="preserve">2022-01-01</t>
  </si>
  <si>
    <t xml:space="preserve">VONO AVERY is just nice but somehow feel lack of something. KINGKOIL HOSPITALITY is very firm, erm not preferable.</t>
  </si>
  <si>
    <t xml:space="preserve">2023-07-22</t>
  </si>
  <si>
    <t xml:space="preserve">i do not prefer soft one, hard to bangun. even sofa pun tak boleh soft ones.</t>
  </si>
  <si>
    <t xml:space="preserve">https://forum.lowyat.net/topic/843907/+7487</t>
  </si>
  <si>
    <t xml:space="preserve">2025-09-04</t>
  </si>
  <si>
    <t xml:space="preserve">What i need is soft but not that soft until got drowning feeling or saggy feeling and i like high thick mattress too and if it has cooling feature</t>
  </si>
  <si>
    <t xml:space="preserve">https://forum.lowyat.net/topic/843907/+7980</t>
  </si>
  <si>
    <t xml:space="preserve">I have used king koil for almost 10 years, overall didnt really like it, feels abit hard</t>
  </si>
  <si>
    <t xml:space="preserve">2025-10-13</t>
  </si>
  <si>
    <t xml:space="preserve">I think it is best to try them out before buying because I also tried their Rio series back then which cost more but was kinda too soft for my liking.</t>
  </si>
  <si>
    <t xml:space="preserve">https://forum.lowyat.net/topic/843907/+8000</t>
  </si>
  <si>
    <t xml:space="preserve">-</t>
  </si>
  <si>
    <t xml:space="preserve">looks like all mattress price gone up already..</t>
  </si>
  <si>
    <t xml:space="preserve">https://forum.lowyat.net/topic/843907/+440</t>
  </si>
  <si>
    <t xml:space="preserve">2020-01-22</t>
  </si>
  <si>
    <t xml:space="preserve">I know the budget isnt much but im hoping to get a decently value mattress for my tenants la at least..</t>
  </si>
  <si>
    <t xml:space="preserve">2020-08</t>
  </si>
  <si>
    <t xml:space="preserve">for the established brands, queen size medium soft mattress range 1-1.5k is quite hard to fit in.</t>
  </si>
  <si>
    <t xml:space="preserve">https://forum.lowyat.net/topic/843907/+6487</t>
  </si>
  <si>
    <t xml:space="preserve">2020-09-15</t>
  </si>
  <si>
    <t xml:space="preserve">I tried it and it seems okay however I'm still worried to buy it.</t>
  </si>
  <si>
    <t xml:space="preserve">2022-01-02</t>
  </si>
  <si>
    <t xml:space="preserve">anyone knows where to get cheaper Serta and Sealy mattress?</t>
  </si>
  <si>
    <t xml:space="preserve">2023-07-19</t>
  </si>
  <si>
    <t xml:space="preserve">Will be a big investment for me, so trying to get the best value and comfort in the long-run.</t>
  </si>
  <si>
    <t xml:space="preserve">2025-10-12</t>
  </si>
  <si>
    <t xml:space="preserve">I didn't go for full latex mattress because of price and weight of the mattress.</t>
  </si>
  <si>
    <t xml:space="preserve">2025-10-27</t>
  </si>
  <si>
    <t xml:space="preserve">What would be a good economical choice queen mattress for rental property?</t>
  </si>
  <si>
    <t xml:space="preserve">2025-11-03</t>
  </si>
  <si>
    <t xml:space="preserve">2021-12-10</t>
  </si>
  <si>
    <t xml:space="preserve">Do you have the info of the material used in these mattresses as i have been searching it but i found 0 result...</t>
  </si>
  <si>
    <t xml:space="preserve">I have no idea where to start, so need few recommendations, whether is bonnell or pocket spring, or hybrid...</t>
  </si>
  <si>
    <t xml:space="preserve">2023-07-01</t>
  </si>
  <si>
    <t xml:space="preserve">Tried to find out more info, but i couldn't find much on kingkoil official. So not sure if is worth it.</t>
  </si>
  <si>
    <t xml:space="preserve">anyone heard of Dreamland Royal Select or the Hotel Spine Care series? Can't find anything online about these 2 series.</t>
  </si>
  <si>
    <t xml:space="preserve">2023-07-24</t>
  </si>
  <si>
    <t xml:space="preserve">Was sleeping on spring old mattress(i think got 30 years old). So no idea what to change.</t>
  </si>
  <si>
    <t xml:space="preserve">looking at 2 queen sized mattress options now where both feel quite similar, so trying to see if can get any feedback on the mattress or the brand itself.</t>
  </si>
  <si>
    <t xml:space="preserve">2025-10-26</t>
  </si>
  <si>
    <t xml:space="preserve">Too many mattress in market dunno which one suppose to test/buy... test few and feel luxury rest good already but its above 3k...</t>
  </si>
  <si>
    <t xml:space="preserve">2020-01-30</t>
  </si>
  <si>
    <t xml:space="preserve">we just got the serta mattress and it was fine until my wife wake up recently and felt painful at the back.</t>
  </si>
  <si>
    <t xml:space="preserve">2020-02-01</t>
  </si>
  <si>
    <t xml:space="preserve">Im a big guy, 330lbs, 5'11, constant back pain from an old injury, need a new mattress ASAP.</t>
  </si>
  <si>
    <t xml:space="preserve">i usually have back pain, so want to try something that gives proper support</t>
  </si>
  <si>
    <t xml:space="preserve">Ageing already and don't want to have backpain.</t>
  </si>
  <si>
    <t xml:space="preserve">Hi can suggest me good mattress that best support my lumbar back problem?</t>
  </si>
  <si>
    <t xml:space="preserve">2017-06-21</t>
  </si>
  <si>
    <t xml:space="preserve">If they tell you prices are controlled and so on, go to another re-seller.</t>
  </si>
  <si>
    <t xml:space="preserve">https://forum.lowyat.net/topic/843907/+4920</t>
  </si>
  <si>
    <t xml:space="preserve">Right after marriage, I was pressured into making a decision quick</t>
  </si>
  <si>
    <t xml:space="preserve">2020-09-06</t>
  </si>
  <si>
    <t xml:space="preserve">This get me wonder who should I trust and rather disappointing if it assembles locally without maintaining the quality to achieve better margin.</t>
  </si>
  <si>
    <t xml:space="preserve">2021-12-15</t>
  </si>
  <si>
    <t xml:space="preserve">I heard they are own oem rebrand. Not sure if I wanna spend on it or just get established brand.</t>
  </si>
  <si>
    <t xml:space="preserve">2025-10-30</t>
  </si>
  <si>
    <t xml:space="preserve">recently saw an ad for dunlopillo warehouse sale happening now, worth it to pay them a visit, or better to just buy from a proper boutique?</t>
  </si>
  <si>
    <t xml:space="preserve">they have odd requirements to qualify (e.g. must be 1.5 inch sink, must have acceptable bed frame but do not have a strict definition on what is "acceptable" which is worrisome)</t>
  </si>
  <si>
    <t xml:space="preserve">the 10 yr warranty means you pay for shipment and fraction of repair cost.</t>
  </si>
  <si>
    <t xml:space="preserve">The 10 years warranty sounds ridiculous, in warranty period any repair cost should be bear by the company</t>
  </si>
  <si>
    <t xml:space="preserve">2017-06-18</t>
  </si>
  <si>
    <t xml:space="preserve">I'm using a Dunlopillo Duchess for 8 years now no problem so far but maybe it is due to wear and tear, it is sinking about 30-40% already....</t>
  </si>
  <si>
    <t xml:space="preserve">I read review that it becomes saggy after 3-5 years and Serta wont honor its warranty bacoz of that.</t>
  </si>
  <si>
    <t xml:space="preserve">2021-12-29</t>
  </si>
  <si>
    <t xml:space="preserve">For years, I hv been using Fiberlux mattress - really like the firmness but dislike the regular flipping and it generally last only 7 yrs.</t>
  </si>
  <si>
    <t xml:space="preserve">https://forum.lowyat.net/topic/843907/+1840</t>
  </si>
  <si>
    <t xml:space="preserve">Hi, recently I bought a spring mattress from Goodnite. I touch the side of the mattress, it looks so cheap that can I touch the spring directly.</t>
  </si>
  <si>
    <t xml:space="preserve">2023-07-15</t>
  </si>
  <si>
    <t xml:space="preserve">they did free mattress protector but quality is bad.</t>
  </si>
  <si>
    <t xml:space="preserve">2021-12-28</t>
  </si>
  <si>
    <t xml:space="preserve">2023-07-08</t>
  </si>
  <si>
    <t xml:space="preserve">my mattress kena purple (grape favour) yakult. and now the portion is purple. anyway i can remove this stain?</t>
  </si>
  <si>
    <t xml:space="preserve">Sadly I need one for my hometown which is a small town that's limited in choice.</t>
  </si>
  <si>
    <t xml:space="preserve">2025-11-05</t>
  </si>
  <si>
    <t xml:space="preserve">also possible buy from you and deliver to Melaka? Hard to find mattress shop here</t>
  </si>
  <si>
    <t xml:space="preserve">After u expand the mattress, how u gonna bring it down if the mattress got issue?</t>
  </si>
  <si>
    <t xml:space="preserve">2023-06-27</t>
  </si>
  <si>
    <t xml:space="preserve">do you have something firmer than Sealy Posturepedic Elevate Cortland and has low disturbance as I like to toss and turn until I sleep.</t>
  </si>
  <si>
    <t xml:space="preserve">Perkara</t>
  </si>
  <si>
    <t xml:space="preserve">Nota</t>
  </si>
  <si>
    <t xml:space="preserve">Kaedah</t>
  </si>
  <si>
    <t xml:space="preserve">Ayat diambil verbatim daripada halaman awam forum Lowyat, thread 'Household Mattress, which brand to go for?'. Satu baris = satu ayat pain. Nama pengguna tidak disimpan.</t>
  </si>
  <si>
    <t xml:space="preserve">Liputan</t>
  </si>
  <si>
    <t xml:space="preserve">10 halaman daripada thread itu (2017–2025). Ini sampel, bukan semua 402 halaman.</t>
  </si>
  <si>
    <t xml:space="preserve">Tidak termasuk</t>
  </si>
  <si>
    <t xml:space="preserve">Reddit: disekat dari sesi ini. Threads &amp; TikTok: perlu browser di komputer awak, yang tak bersambung masa kerja ini dibuat.</t>
  </si>
  <si>
    <t xml:space="preserve">Dilabel secara manual oleh Claude; satu ayat satu kategori. Boleh tukar di kolum D tab 'Ayat Pain' dan kiraan Ringkasan akan ikut.</t>
  </si>
  <si>
    <t xml:space="preserve">Bias</t>
  </si>
  <si>
    <t xml:space="preserve">Pengguna Lowyat cenderung lelaki, urban, berbahasa Inggeris dan bajet sederhana-tinggi. Suara pembeli B40/BM kurang diwakili; Threads/TikTok akan imbangkan.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</si>
</sst>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u val="single"/>
      <sz val="11"/>
      <color rgb="FF1F5FB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5FBF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orum.lowyat.net/topic/843907/+6260" TargetMode="External"/><Relationship Id="rId2" Type="http://schemas.openxmlformats.org/officeDocument/2006/relationships/hyperlink" Target="https://forum.lowyat.net/topic/843907/+6260" TargetMode="External"/><Relationship Id="rId3" Type="http://schemas.openxmlformats.org/officeDocument/2006/relationships/hyperlink" Target="https://forum.lowyat.net/topic/843907/+6260" TargetMode="External"/><Relationship Id="rId4" Type="http://schemas.openxmlformats.org/officeDocument/2006/relationships/hyperlink" Target="https://forum.lowyat.net/topic/843907/+6520" TargetMode="External"/><Relationship Id="rId5" Type="http://schemas.openxmlformats.org/officeDocument/2006/relationships/hyperlink" Target="https://forum.lowyat.net/topic/843907/+6960" TargetMode="External"/><Relationship Id="rId6" Type="http://schemas.openxmlformats.org/officeDocument/2006/relationships/hyperlink" Target="https://forum.lowyat.net/topic/843907/+6960" TargetMode="External"/><Relationship Id="rId7" Type="http://schemas.openxmlformats.org/officeDocument/2006/relationships/hyperlink" Target="https://forum.lowyat.net/topic/843907/+6960" TargetMode="External"/><Relationship Id="rId8" Type="http://schemas.openxmlformats.org/officeDocument/2006/relationships/hyperlink" Target="https://forum.lowyat.net/topic/843907/+7487" TargetMode="External"/><Relationship Id="rId9" Type="http://schemas.openxmlformats.org/officeDocument/2006/relationships/hyperlink" Target="https://forum.lowyat.net/topic/843907/+7980" TargetMode="External"/><Relationship Id="rId10" Type="http://schemas.openxmlformats.org/officeDocument/2006/relationships/hyperlink" Target="https://forum.lowyat.net/topic/843907/+7980" TargetMode="External"/><Relationship Id="rId11" Type="http://schemas.openxmlformats.org/officeDocument/2006/relationships/hyperlink" Target="https://forum.lowyat.net/topic/843907/+8000" TargetMode="External"/><Relationship Id="rId12" Type="http://schemas.openxmlformats.org/officeDocument/2006/relationships/hyperlink" Target="https://forum.lowyat.net/topic/843907/+440" TargetMode="External"/><Relationship Id="rId13" Type="http://schemas.openxmlformats.org/officeDocument/2006/relationships/hyperlink" Target="https://forum.lowyat.net/topic/843907/+6260" TargetMode="External"/><Relationship Id="rId14" Type="http://schemas.openxmlformats.org/officeDocument/2006/relationships/hyperlink" Target="https://forum.lowyat.net/topic/843907/+6487" TargetMode="External"/><Relationship Id="rId15" Type="http://schemas.openxmlformats.org/officeDocument/2006/relationships/hyperlink" Target="https://forum.lowyat.net/topic/843907/+6520" TargetMode="External"/><Relationship Id="rId16" Type="http://schemas.openxmlformats.org/officeDocument/2006/relationships/hyperlink" Target="https://forum.lowyat.net/topic/843907/+6960" TargetMode="External"/><Relationship Id="rId17" Type="http://schemas.openxmlformats.org/officeDocument/2006/relationships/hyperlink" Target="https://forum.lowyat.net/topic/843907/+7487" TargetMode="External"/><Relationship Id="rId18" Type="http://schemas.openxmlformats.org/officeDocument/2006/relationships/hyperlink" Target="https://forum.lowyat.net/topic/843907/+7980" TargetMode="External"/><Relationship Id="rId19" Type="http://schemas.openxmlformats.org/officeDocument/2006/relationships/hyperlink" Target="https://forum.lowyat.net/topic/843907/+8000" TargetMode="External"/><Relationship Id="rId20" Type="http://schemas.openxmlformats.org/officeDocument/2006/relationships/hyperlink" Target="https://forum.lowyat.net/topic/843907/+8000" TargetMode="External"/><Relationship Id="rId21" Type="http://schemas.openxmlformats.org/officeDocument/2006/relationships/hyperlink" Target="https://forum.lowyat.net/topic/843907/+6960" TargetMode="External"/><Relationship Id="rId22" Type="http://schemas.openxmlformats.org/officeDocument/2006/relationships/hyperlink" Target="https://forum.lowyat.net/topic/843907/+6960" TargetMode="External"/><Relationship Id="rId23" Type="http://schemas.openxmlformats.org/officeDocument/2006/relationships/hyperlink" Target="https://forum.lowyat.net/topic/843907/+7487" TargetMode="External"/><Relationship Id="rId24" Type="http://schemas.openxmlformats.org/officeDocument/2006/relationships/hyperlink" Target="https://forum.lowyat.net/topic/843907/+7487" TargetMode="External"/><Relationship Id="rId25" Type="http://schemas.openxmlformats.org/officeDocument/2006/relationships/hyperlink" Target="https://forum.lowyat.net/topic/843907/+7487" TargetMode="External"/><Relationship Id="rId26" Type="http://schemas.openxmlformats.org/officeDocument/2006/relationships/hyperlink" Target="https://forum.lowyat.net/topic/843907/+7980" TargetMode="External"/><Relationship Id="rId27" Type="http://schemas.openxmlformats.org/officeDocument/2006/relationships/hyperlink" Target="https://forum.lowyat.net/topic/843907/+8000" TargetMode="External"/><Relationship Id="rId28" Type="http://schemas.openxmlformats.org/officeDocument/2006/relationships/hyperlink" Target="https://forum.lowyat.net/topic/843907/+6260" TargetMode="External"/><Relationship Id="rId29" Type="http://schemas.openxmlformats.org/officeDocument/2006/relationships/hyperlink" Target="https://forum.lowyat.net/topic/843907/+6260" TargetMode="External"/><Relationship Id="rId30" Type="http://schemas.openxmlformats.org/officeDocument/2006/relationships/hyperlink" Target="https://forum.lowyat.net/topic/843907/+6520" TargetMode="External"/><Relationship Id="rId31" Type="http://schemas.openxmlformats.org/officeDocument/2006/relationships/hyperlink" Target="https://forum.lowyat.net/topic/843907/+7487" TargetMode="External"/><Relationship Id="rId32" Type="http://schemas.openxmlformats.org/officeDocument/2006/relationships/hyperlink" Target="https://forum.lowyat.net/topic/843907/+7487" TargetMode="External"/><Relationship Id="rId33" Type="http://schemas.openxmlformats.org/officeDocument/2006/relationships/hyperlink" Target="https://forum.lowyat.net/topic/843907/+8000" TargetMode="External"/><Relationship Id="rId34" Type="http://schemas.openxmlformats.org/officeDocument/2006/relationships/hyperlink" Target="https://forum.lowyat.net/topic/843907/+4920" TargetMode="External"/><Relationship Id="rId35" Type="http://schemas.openxmlformats.org/officeDocument/2006/relationships/hyperlink" Target="https://forum.lowyat.net/topic/843907/+6260" TargetMode="External"/><Relationship Id="rId36" Type="http://schemas.openxmlformats.org/officeDocument/2006/relationships/hyperlink" Target="https://forum.lowyat.net/topic/843907/+6260" TargetMode="External"/><Relationship Id="rId37" Type="http://schemas.openxmlformats.org/officeDocument/2006/relationships/hyperlink" Target="https://forum.lowyat.net/topic/843907/+6520" TargetMode="External"/><Relationship Id="rId38" Type="http://schemas.openxmlformats.org/officeDocument/2006/relationships/hyperlink" Target="https://forum.lowyat.net/topic/843907/+6960" TargetMode="External"/><Relationship Id="rId39" Type="http://schemas.openxmlformats.org/officeDocument/2006/relationships/hyperlink" Target="https://forum.lowyat.net/topic/843907/+8000" TargetMode="External"/><Relationship Id="rId40" Type="http://schemas.openxmlformats.org/officeDocument/2006/relationships/hyperlink" Target="https://forum.lowyat.net/topic/843907/+4920" TargetMode="External"/><Relationship Id="rId41" Type="http://schemas.openxmlformats.org/officeDocument/2006/relationships/hyperlink" Target="https://forum.lowyat.net/topic/843907/+4920" TargetMode="External"/><Relationship Id="rId42" Type="http://schemas.openxmlformats.org/officeDocument/2006/relationships/hyperlink" Target="https://forum.lowyat.net/topic/843907/+4920" TargetMode="External"/><Relationship Id="rId43" Type="http://schemas.openxmlformats.org/officeDocument/2006/relationships/hyperlink" Target="https://forum.lowyat.net/topic/843907/+4920" TargetMode="External"/><Relationship Id="rId44" Type="http://schemas.openxmlformats.org/officeDocument/2006/relationships/hyperlink" Target="https://forum.lowyat.net/topic/843907/+4920" TargetMode="External"/><Relationship Id="rId45" Type="http://schemas.openxmlformats.org/officeDocument/2006/relationships/hyperlink" Target="https://forum.lowyat.net/topic/843907/+6520" TargetMode="External"/><Relationship Id="rId46" Type="http://schemas.openxmlformats.org/officeDocument/2006/relationships/hyperlink" Target="https://forum.lowyat.net/topic/843907/+6960" TargetMode="External"/><Relationship Id="rId47" Type="http://schemas.openxmlformats.org/officeDocument/2006/relationships/hyperlink" Target="https://forum.lowyat.net/topic/843907/+1840" TargetMode="External"/><Relationship Id="rId48" Type="http://schemas.openxmlformats.org/officeDocument/2006/relationships/hyperlink" Target="https://forum.lowyat.net/topic/843907/+6487" TargetMode="External"/><Relationship Id="rId49" Type="http://schemas.openxmlformats.org/officeDocument/2006/relationships/hyperlink" Target="https://forum.lowyat.net/topic/843907/+7487" TargetMode="External"/><Relationship Id="rId50" Type="http://schemas.openxmlformats.org/officeDocument/2006/relationships/hyperlink" Target="https://forum.lowyat.net/topic/843907/+6960" TargetMode="External"/><Relationship Id="rId51" Type="http://schemas.openxmlformats.org/officeDocument/2006/relationships/hyperlink" Target="https://forum.lowyat.net/topic/843907/+7487" TargetMode="External"/><Relationship Id="rId52" Type="http://schemas.openxmlformats.org/officeDocument/2006/relationships/hyperlink" Target="https://forum.lowyat.net/topic/843907/+6520" TargetMode="External"/><Relationship Id="rId53" Type="http://schemas.openxmlformats.org/officeDocument/2006/relationships/hyperlink" Target="https://forum.lowyat.net/topic/843907/+8000" TargetMode="External"/><Relationship Id="rId54" Type="http://schemas.openxmlformats.org/officeDocument/2006/relationships/hyperlink" Target="https://forum.lowyat.net/topic/843907/+6960" TargetMode="External"/><Relationship Id="rId55" Type="http://schemas.openxmlformats.org/officeDocument/2006/relationships/hyperlink" Target="https://forum.lowyat.net/topic/843907/+6960" TargetMode="External"/><Relationship Id="rId56" Type="http://schemas.openxmlformats.org/officeDocument/2006/relationships/hyperlink" Target="https://forum.lowyat.net/topic/843907/+7487" TargetMode="External"/><Relationship Id="rId57" Type="http://schemas.openxmlformats.org/officeDocument/2006/relationships/hyperlink" Target="https://forum.lowyat.net/topic/843907/+6260" TargetMode="External"/><Relationship Id="rId58" Type="http://schemas.openxmlformats.org/officeDocument/2006/relationships/hyperlink" Target="https://forum.lowyat.net/topic/843907/+7980" TargetMode="External"/><Relationship Id="rId5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  <c r="B4" s="4" t="n">
        <f aca="false">COUNTA('Ayat Pain'!E2:E59)</f>
        <v>58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false" outlineLevel="0" collapsed="false">
      <c r="A7" s="6" t="s">
        <v>7</v>
      </c>
      <c r="B7" s="6" t="n">
        <f aca="false">COUNTIF('Ayat Pain'!$D$2:$D$59,A7)</f>
        <v>11</v>
      </c>
      <c r="C7" s="7" t="n">
        <f aca="false">IF($B$4=0,0,B7/$B$4)</f>
        <v>0.189655172413793</v>
      </c>
      <c r="D7" s="6" t="s">
        <v>8</v>
      </c>
    </row>
    <row r="8" customFormat="false" ht="26.85" hidden="false" customHeight="false" outlineLevel="0" collapsed="false">
      <c r="A8" s="6" t="s">
        <v>9</v>
      </c>
      <c r="B8" s="6" t="n">
        <f aca="false">COUNTIF('Ayat Pain'!$D$2:$D$59,A8)</f>
        <v>9</v>
      </c>
      <c r="C8" s="7" t="n">
        <f aca="false">IF($B$4=0,0,B8/$B$4)</f>
        <v>0.155172413793103</v>
      </c>
      <c r="D8" s="6" t="s">
        <v>10</v>
      </c>
    </row>
    <row r="9" customFormat="false" ht="15" hidden="false" customHeight="false" outlineLevel="0" collapsed="false">
      <c r="A9" s="6" t="s">
        <v>11</v>
      </c>
      <c r="B9" s="6" t="n">
        <f aca="false">COUNTIF('Ayat Pain'!$D$2:$D$59,A9)</f>
        <v>7</v>
      </c>
      <c r="C9" s="7" t="n">
        <f aca="false">IF($B$4=0,0,B9/$B$4)</f>
        <v>0.120689655172414</v>
      </c>
      <c r="D9" s="6" t="s">
        <v>12</v>
      </c>
    </row>
    <row r="10" customFormat="false" ht="15" hidden="false" customHeight="false" outlineLevel="0" collapsed="false">
      <c r="A10" s="6" t="s">
        <v>13</v>
      </c>
      <c r="B10" s="6" t="n">
        <f aca="false">COUNTIF('Ayat Pain'!$D$2:$D$59,A10)</f>
        <v>6</v>
      </c>
      <c r="C10" s="7" t="n">
        <f aca="false">IF($B$4=0,0,B10/$B$4)</f>
        <v>0.103448275862069</v>
      </c>
      <c r="D10" s="6" t="s">
        <v>14</v>
      </c>
    </row>
    <row r="11" customFormat="false" ht="26.85" hidden="false" customHeight="false" outlineLevel="0" collapsed="false">
      <c r="A11" s="6" t="s">
        <v>15</v>
      </c>
      <c r="B11" s="6" t="n">
        <f aca="false">COUNTIF('Ayat Pain'!$D$2:$D$59,A11)</f>
        <v>6</v>
      </c>
      <c r="C11" s="7" t="n">
        <f aca="false">IF($B$4=0,0,B11/$B$4)</f>
        <v>0.103448275862069</v>
      </c>
      <c r="D11" s="6" t="s">
        <v>16</v>
      </c>
    </row>
    <row r="12" customFormat="false" ht="26.85" hidden="false" customHeight="false" outlineLevel="0" collapsed="false">
      <c r="A12" s="6" t="s">
        <v>17</v>
      </c>
      <c r="B12" s="6" t="n">
        <f aca="false">COUNTIF('Ayat Pain'!$D$2:$D$59,A12)</f>
        <v>4</v>
      </c>
      <c r="C12" s="7" t="n">
        <f aca="false">IF($B$4=0,0,B12/$B$4)</f>
        <v>0.0689655172413793</v>
      </c>
      <c r="D12" s="6" t="s">
        <v>18</v>
      </c>
    </row>
    <row r="13" customFormat="false" ht="15" hidden="false" customHeight="false" outlineLevel="0" collapsed="false">
      <c r="A13" s="6" t="s">
        <v>19</v>
      </c>
      <c r="B13" s="6" t="n">
        <f aca="false">COUNTIF('Ayat Pain'!$D$2:$D$59,A13)</f>
        <v>3</v>
      </c>
      <c r="C13" s="7" t="n">
        <f aca="false">IF($B$4=0,0,B13/$B$4)</f>
        <v>0.0517241379310345</v>
      </c>
      <c r="D13" s="6" t="s">
        <v>20</v>
      </c>
    </row>
    <row r="14" customFormat="false" ht="15" hidden="false" customHeight="false" outlineLevel="0" collapsed="false">
      <c r="A14" s="6" t="s">
        <v>21</v>
      </c>
      <c r="B14" s="6" t="n">
        <f aca="false">COUNTIF('Ayat Pain'!$D$2:$D$59,A14)</f>
        <v>3</v>
      </c>
      <c r="C14" s="7" t="n">
        <f aca="false">IF($B$4=0,0,B14/$B$4)</f>
        <v>0.0517241379310345</v>
      </c>
      <c r="D14" s="6" t="s">
        <v>22</v>
      </c>
    </row>
    <row r="15" customFormat="false" ht="15" hidden="false" customHeight="false" outlineLevel="0" collapsed="false">
      <c r="A15" s="6" t="s">
        <v>23</v>
      </c>
      <c r="B15" s="6" t="n">
        <f aca="false">COUNTIF('Ayat Pain'!$D$2:$D$59,A15)</f>
        <v>2</v>
      </c>
      <c r="C15" s="7" t="n">
        <f aca="false">IF($B$4=0,0,B15/$B$4)</f>
        <v>0.0344827586206897</v>
      </c>
      <c r="D15" s="6" t="s">
        <v>24</v>
      </c>
    </row>
    <row r="16" customFormat="false" ht="15" hidden="false" customHeight="false" outlineLevel="0" collapsed="false">
      <c r="A16" s="6" t="s">
        <v>25</v>
      </c>
      <c r="B16" s="6" t="n">
        <f aca="false">COUNTIF('Ayat Pain'!$D$2:$D$59,A16)</f>
        <v>2</v>
      </c>
      <c r="C16" s="7" t="n">
        <f aca="false">IF($B$4=0,0,B16/$B$4)</f>
        <v>0.0344827586206897</v>
      </c>
      <c r="D16" s="6" t="s">
        <v>26</v>
      </c>
    </row>
    <row r="17" customFormat="false" ht="26.85" hidden="false" customHeight="false" outlineLevel="0" collapsed="false">
      <c r="A17" s="6" t="s">
        <v>27</v>
      </c>
      <c r="B17" s="6" t="n">
        <f aca="false">COUNTIF('Ayat Pain'!$D$2:$D$59,A17)</f>
        <v>2</v>
      </c>
      <c r="C17" s="7" t="n">
        <f aca="false">IF($B$4=0,0,B17/$B$4)</f>
        <v>0.0344827586206897</v>
      </c>
      <c r="D17" s="6" t="s">
        <v>28</v>
      </c>
    </row>
    <row r="18" customFormat="false" ht="26.85" hidden="false" customHeight="false" outlineLevel="0" collapsed="false">
      <c r="A18" s="6" t="s">
        <v>29</v>
      </c>
      <c r="B18" s="6" t="n">
        <f aca="false">COUNTIF('Ayat Pain'!$D$2:$D$59,A18)</f>
        <v>1</v>
      </c>
      <c r="C18" s="7" t="n">
        <f aca="false">IF($B$4=0,0,B18/$B$4)</f>
        <v>0.0172413793103448</v>
      </c>
      <c r="D18" s="6" t="s">
        <v>30</v>
      </c>
    </row>
    <row r="19" customFormat="false" ht="26.85" hidden="false" customHeight="false" outlineLevel="0" collapsed="false">
      <c r="A19" s="6" t="s">
        <v>31</v>
      </c>
      <c r="B19" s="6" t="n">
        <f aca="false">COUNTIF('Ayat Pain'!$D$2:$D$59,A19)</f>
        <v>1</v>
      </c>
      <c r="C19" s="7" t="n">
        <f aca="false">IF($B$4=0,0,B19/$B$4)</f>
        <v>0.0172413793103448</v>
      </c>
      <c r="D19" s="6" t="s">
        <v>32</v>
      </c>
    </row>
    <row r="20" customFormat="false" ht="15" hidden="false" customHeight="false" outlineLevel="0" collapsed="false">
      <c r="A20" s="6" t="s">
        <v>33</v>
      </c>
      <c r="B20" s="6" t="n">
        <f aca="false">COUNTIF('Ayat Pain'!$D$2:$D$59,A20)</f>
        <v>1</v>
      </c>
      <c r="C20" s="7" t="n">
        <f aca="false">IF($B$4=0,0,B20/$B$4)</f>
        <v>0.0172413793103448</v>
      </c>
      <c r="D20" s="6" t="s">
        <v>34</v>
      </c>
    </row>
    <row r="21" customFormat="false" ht="15" hidden="false" customHeight="false" outlineLevel="0" collapsed="false">
      <c r="A21" s="3" t="s">
        <v>35</v>
      </c>
      <c r="B21" s="3" t="n">
        <f aca="false">SUM(B7:B20)</f>
        <v>58</v>
      </c>
    </row>
    <row r="23" customFormat="false" ht="16.15" hidden="false" customHeight="false" outlineLevel="0" collapsed="false">
      <c r="A23" s="8" t="s">
        <v>36</v>
      </c>
    </row>
    <row r="24" customFormat="false" ht="15" hidden="false" customHeight="false" outlineLevel="0" collapsed="false">
      <c r="A24" s="2" t="s">
        <v>37</v>
      </c>
    </row>
    <row r="25" customFormat="false" ht="61.5" hidden="false" customHeight="true" outlineLevel="0" collapsed="false">
      <c r="A25" s="9" t="s">
        <v>38</v>
      </c>
      <c r="B25" s="10" t="s">
        <v>39</v>
      </c>
      <c r="C25" s="10"/>
      <c r="D25" s="10"/>
    </row>
    <row r="26" customFormat="false" ht="61.5" hidden="false" customHeight="true" outlineLevel="0" collapsed="false">
      <c r="A26" s="9" t="s">
        <v>40</v>
      </c>
      <c r="B26" s="10" t="s">
        <v>41</v>
      </c>
      <c r="C26" s="10"/>
      <c r="D26" s="10"/>
    </row>
    <row r="27" customFormat="false" ht="61.5" hidden="false" customHeight="true" outlineLevel="0" collapsed="false">
      <c r="A27" s="9" t="s">
        <v>42</v>
      </c>
      <c r="B27" s="10" t="s">
        <v>43</v>
      </c>
      <c r="C27" s="10"/>
      <c r="D27" s="10"/>
    </row>
    <row r="28" customFormat="false" ht="61.5" hidden="false" customHeight="true" outlineLevel="0" collapsed="false">
      <c r="A28" s="9" t="s">
        <v>44</v>
      </c>
      <c r="B28" s="10" t="s">
        <v>45</v>
      </c>
      <c r="C28" s="10"/>
      <c r="D28" s="10"/>
    </row>
    <row r="29" customFormat="false" ht="61.5" hidden="false" customHeight="true" outlineLevel="0" collapsed="false">
      <c r="A29" s="9" t="s">
        <v>46</v>
      </c>
      <c r="B29" s="10" t="s">
        <v>47</v>
      </c>
      <c r="C29" s="10"/>
      <c r="D29" s="10"/>
    </row>
  </sheetData>
  <mergeCells count="5"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80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</row>
    <row r="2" customFormat="false" ht="26.85" hidden="false" customHeight="false" outlineLevel="0" collapsed="false">
      <c r="A2" s="6" t="n">
        <v>1</v>
      </c>
      <c r="B2" s="6" t="s">
        <v>54</v>
      </c>
      <c r="C2" s="6" t="s">
        <v>55</v>
      </c>
      <c r="D2" s="6" t="s">
        <v>7</v>
      </c>
      <c r="E2" s="6" t="s">
        <v>56</v>
      </c>
      <c r="F2" s="12" t="s">
        <v>57</v>
      </c>
    </row>
    <row r="3" customFormat="false" ht="26.85" hidden="false" customHeight="false" outlineLevel="0" collapsed="false">
      <c r="A3" s="6" t="n">
        <v>2</v>
      </c>
      <c r="B3" s="6" t="s">
        <v>54</v>
      </c>
      <c r="C3" s="6" t="s">
        <v>58</v>
      </c>
      <c r="D3" s="6" t="s">
        <v>7</v>
      </c>
      <c r="E3" s="6" t="s">
        <v>8</v>
      </c>
      <c r="F3" s="12" t="s">
        <v>57</v>
      </c>
    </row>
    <row r="4" customFormat="false" ht="26.85" hidden="false" customHeight="false" outlineLevel="0" collapsed="false">
      <c r="A4" s="6" t="n">
        <v>3</v>
      </c>
      <c r="B4" s="6" t="s">
        <v>54</v>
      </c>
      <c r="C4" s="6" t="s">
        <v>58</v>
      </c>
      <c r="D4" s="6" t="s">
        <v>7</v>
      </c>
      <c r="E4" s="6" t="s">
        <v>59</v>
      </c>
      <c r="F4" s="12" t="s">
        <v>57</v>
      </c>
    </row>
    <row r="5" customFormat="false" ht="26.85" hidden="false" customHeight="false" outlineLevel="0" collapsed="false">
      <c r="A5" s="6" t="n">
        <v>4</v>
      </c>
      <c r="B5" s="6" t="s">
        <v>54</v>
      </c>
      <c r="C5" s="6" t="s">
        <v>60</v>
      </c>
      <c r="D5" s="6" t="s">
        <v>7</v>
      </c>
      <c r="E5" s="6" t="s">
        <v>61</v>
      </c>
      <c r="F5" s="12" t="s">
        <v>62</v>
      </c>
    </row>
    <row r="6" customFormat="false" ht="26.85" hidden="false" customHeight="false" outlineLevel="0" collapsed="false">
      <c r="A6" s="6" t="n">
        <v>5</v>
      </c>
      <c r="B6" s="6" t="s">
        <v>54</v>
      </c>
      <c r="C6" s="6" t="s">
        <v>63</v>
      </c>
      <c r="D6" s="6" t="s">
        <v>7</v>
      </c>
      <c r="E6" s="6" t="s">
        <v>64</v>
      </c>
      <c r="F6" s="12" t="s">
        <v>65</v>
      </c>
    </row>
    <row r="7" customFormat="false" ht="26.85" hidden="false" customHeight="false" outlineLevel="0" collapsed="false">
      <c r="A7" s="6" t="n">
        <v>6</v>
      </c>
      <c r="B7" s="6" t="s">
        <v>54</v>
      </c>
      <c r="C7" s="6" t="s">
        <v>66</v>
      </c>
      <c r="D7" s="6" t="s">
        <v>7</v>
      </c>
      <c r="E7" s="6" t="s">
        <v>67</v>
      </c>
      <c r="F7" s="12" t="s">
        <v>65</v>
      </c>
    </row>
    <row r="8" customFormat="false" ht="26.85" hidden="false" customHeight="false" outlineLevel="0" collapsed="false">
      <c r="A8" s="6" t="n">
        <v>7</v>
      </c>
      <c r="B8" s="6" t="s">
        <v>54</v>
      </c>
      <c r="C8" s="6" t="s">
        <v>68</v>
      </c>
      <c r="D8" s="6" t="s">
        <v>7</v>
      </c>
      <c r="E8" s="6" t="s">
        <v>69</v>
      </c>
      <c r="F8" s="12" t="s">
        <v>65</v>
      </c>
    </row>
    <row r="9" customFormat="false" ht="26.85" hidden="false" customHeight="false" outlineLevel="0" collapsed="false">
      <c r="A9" s="6" t="n">
        <v>8</v>
      </c>
      <c r="B9" s="6" t="s">
        <v>54</v>
      </c>
      <c r="C9" s="6" t="s">
        <v>70</v>
      </c>
      <c r="D9" s="6" t="s">
        <v>7</v>
      </c>
      <c r="E9" s="6" t="s">
        <v>71</v>
      </c>
      <c r="F9" s="12" t="s">
        <v>72</v>
      </c>
    </row>
    <row r="10" customFormat="false" ht="26.85" hidden="false" customHeight="false" outlineLevel="0" collapsed="false">
      <c r="A10" s="6" t="n">
        <v>9</v>
      </c>
      <c r="B10" s="6" t="s">
        <v>54</v>
      </c>
      <c r="C10" s="6" t="s">
        <v>73</v>
      </c>
      <c r="D10" s="6" t="s">
        <v>7</v>
      </c>
      <c r="E10" s="6" t="s">
        <v>74</v>
      </c>
      <c r="F10" s="12" t="s">
        <v>75</v>
      </c>
    </row>
    <row r="11" customFormat="false" ht="26.85" hidden="false" customHeight="false" outlineLevel="0" collapsed="false">
      <c r="A11" s="6" t="n">
        <v>10</v>
      </c>
      <c r="B11" s="6" t="s">
        <v>54</v>
      </c>
      <c r="C11" s="6" t="s">
        <v>73</v>
      </c>
      <c r="D11" s="6" t="s">
        <v>7</v>
      </c>
      <c r="E11" s="6" t="s">
        <v>76</v>
      </c>
      <c r="F11" s="12" t="s">
        <v>75</v>
      </c>
    </row>
    <row r="12" customFormat="false" ht="26.85" hidden="false" customHeight="false" outlineLevel="0" collapsed="false">
      <c r="A12" s="6" t="n">
        <v>11</v>
      </c>
      <c r="B12" s="6" t="s">
        <v>54</v>
      </c>
      <c r="C12" s="6" t="s">
        <v>77</v>
      </c>
      <c r="D12" s="6" t="s">
        <v>7</v>
      </c>
      <c r="E12" s="6" t="s">
        <v>78</v>
      </c>
      <c r="F12" s="12" t="s">
        <v>79</v>
      </c>
    </row>
    <row r="13" customFormat="false" ht="15" hidden="false" customHeight="false" outlineLevel="0" collapsed="false">
      <c r="A13" s="6" t="n">
        <v>12</v>
      </c>
      <c r="B13" s="6" t="s">
        <v>54</v>
      </c>
      <c r="C13" s="6" t="s">
        <v>80</v>
      </c>
      <c r="D13" s="6" t="s">
        <v>9</v>
      </c>
      <c r="E13" s="6" t="s">
        <v>81</v>
      </c>
      <c r="F13" s="12" t="s">
        <v>82</v>
      </c>
    </row>
    <row r="14" customFormat="false" ht="26.85" hidden="false" customHeight="false" outlineLevel="0" collapsed="false">
      <c r="A14" s="6" t="n">
        <v>13</v>
      </c>
      <c r="B14" s="6" t="s">
        <v>54</v>
      </c>
      <c r="C14" s="6" t="s">
        <v>83</v>
      </c>
      <c r="D14" s="6" t="s">
        <v>9</v>
      </c>
      <c r="E14" s="6" t="s">
        <v>84</v>
      </c>
      <c r="F14" s="12" t="s">
        <v>57</v>
      </c>
    </row>
    <row r="15" customFormat="false" ht="26.85" hidden="false" customHeight="false" outlineLevel="0" collapsed="false">
      <c r="A15" s="6" t="n">
        <v>14</v>
      </c>
      <c r="B15" s="6" t="s">
        <v>54</v>
      </c>
      <c r="C15" s="6" t="s">
        <v>85</v>
      </c>
      <c r="D15" s="6" t="s">
        <v>9</v>
      </c>
      <c r="E15" s="6" t="s">
        <v>86</v>
      </c>
      <c r="F15" s="12" t="s">
        <v>87</v>
      </c>
    </row>
    <row r="16" customFormat="false" ht="26.85" hidden="false" customHeight="false" outlineLevel="0" collapsed="false">
      <c r="A16" s="6" t="n">
        <v>15</v>
      </c>
      <c r="B16" s="6" t="s">
        <v>54</v>
      </c>
      <c r="C16" s="6" t="s">
        <v>88</v>
      </c>
      <c r="D16" s="6" t="s">
        <v>9</v>
      </c>
      <c r="E16" s="6" t="s">
        <v>89</v>
      </c>
      <c r="F16" s="12" t="s">
        <v>62</v>
      </c>
    </row>
    <row r="17" customFormat="false" ht="26.85" hidden="false" customHeight="false" outlineLevel="0" collapsed="false">
      <c r="A17" s="6" t="n">
        <v>16</v>
      </c>
      <c r="B17" s="6" t="s">
        <v>54</v>
      </c>
      <c r="C17" s="6" t="s">
        <v>90</v>
      </c>
      <c r="D17" s="6" t="s">
        <v>9</v>
      </c>
      <c r="E17" s="6" t="s">
        <v>91</v>
      </c>
      <c r="F17" s="12" t="s">
        <v>65</v>
      </c>
    </row>
    <row r="18" customFormat="false" ht="26.85" hidden="false" customHeight="false" outlineLevel="0" collapsed="false">
      <c r="A18" s="6" t="n">
        <v>17</v>
      </c>
      <c r="B18" s="6" t="s">
        <v>54</v>
      </c>
      <c r="C18" s="6" t="s">
        <v>92</v>
      </c>
      <c r="D18" s="6" t="s">
        <v>9</v>
      </c>
      <c r="E18" s="6" t="s">
        <v>93</v>
      </c>
      <c r="F18" s="12" t="s">
        <v>72</v>
      </c>
    </row>
    <row r="19" customFormat="false" ht="26.85" hidden="false" customHeight="false" outlineLevel="0" collapsed="false">
      <c r="A19" s="6" t="n">
        <v>18</v>
      </c>
      <c r="B19" s="6" t="s">
        <v>54</v>
      </c>
      <c r="C19" s="6" t="s">
        <v>94</v>
      </c>
      <c r="D19" s="6" t="s">
        <v>9</v>
      </c>
      <c r="E19" s="6" t="s">
        <v>95</v>
      </c>
      <c r="F19" s="12" t="s">
        <v>75</v>
      </c>
    </row>
    <row r="20" customFormat="false" ht="26.85" hidden="false" customHeight="false" outlineLevel="0" collapsed="false">
      <c r="A20" s="6" t="n">
        <v>19</v>
      </c>
      <c r="B20" s="6" t="s">
        <v>54</v>
      </c>
      <c r="C20" s="6" t="s">
        <v>96</v>
      </c>
      <c r="D20" s="6" t="s">
        <v>9</v>
      </c>
      <c r="E20" s="6" t="s">
        <v>97</v>
      </c>
      <c r="F20" s="12" t="s">
        <v>79</v>
      </c>
    </row>
    <row r="21" customFormat="false" ht="26.85" hidden="false" customHeight="false" outlineLevel="0" collapsed="false">
      <c r="A21" s="6" t="n">
        <v>20</v>
      </c>
      <c r="B21" s="6" t="s">
        <v>54</v>
      </c>
      <c r="C21" s="6" t="s">
        <v>98</v>
      </c>
      <c r="D21" s="6" t="s">
        <v>9</v>
      </c>
      <c r="E21" s="6" t="s">
        <v>10</v>
      </c>
      <c r="F21" s="12" t="s">
        <v>79</v>
      </c>
    </row>
    <row r="22" customFormat="false" ht="26.85" hidden="false" customHeight="false" outlineLevel="0" collapsed="false">
      <c r="A22" s="6" t="n">
        <v>21</v>
      </c>
      <c r="B22" s="6" t="s">
        <v>54</v>
      </c>
      <c r="C22" s="6" t="s">
        <v>99</v>
      </c>
      <c r="D22" s="6" t="s">
        <v>11</v>
      </c>
      <c r="E22" s="6" t="s">
        <v>100</v>
      </c>
      <c r="F22" s="12" t="s">
        <v>65</v>
      </c>
    </row>
    <row r="23" customFormat="false" ht="26.85" hidden="false" customHeight="false" outlineLevel="0" collapsed="false">
      <c r="A23" s="6" t="n">
        <v>22</v>
      </c>
      <c r="B23" s="6" t="s">
        <v>54</v>
      </c>
      <c r="C23" s="6" t="s">
        <v>63</v>
      </c>
      <c r="D23" s="6" t="s">
        <v>11</v>
      </c>
      <c r="E23" s="6" t="s">
        <v>101</v>
      </c>
      <c r="F23" s="12" t="s">
        <v>65</v>
      </c>
    </row>
    <row r="24" customFormat="false" ht="26.85" hidden="false" customHeight="false" outlineLevel="0" collapsed="false">
      <c r="A24" s="6" t="n">
        <v>23</v>
      </c>
      <c r="B24" s="6" t="s">
        <v>54</v>
      </c>
      <c r="C24" s="6" t="s">
        <v>102</v>
      </c>
      <c r="D24" s="6" t="s">
        <v>11</v>
      </c>
      <c r="E24" s="6" t="s">
        <v>103</v>
      </c>
      <c r="F24" s="12" t="s">
        <v>72</v>
      </c>
    </row>
    <row r="25" customFormat="false" ht="26.85" hidden="false" customHeight="false" outlineLevel="0" collapsed="false">
      <c r="A25" s="6" t="n">
        <v>24</v>
      </c>
      <c r="B25" s="6" t="s">
        <v>54</v>
      </c>
      <c r="C25" s="6" t="s">
        <v>102</v>
      </c>
      <c r="D25" s="6" t="s">
        <v>11</v>
      </c>
      <c r="E25" s="6" t="s">
        <v>104</v>
      </c>
      <c r="F25" s="12" t="s">
        <v>72</v>
      </c>
    </row>
    <row r="26" customFormat="false" ht="26.85" hidden="false" customHeight="false" outlineLevel="0" collapsed="false">
      <c r="A26" s="6" t="n">
        <v>25</v>
      </c>
      <c r="B26" s="6" t="s">
        <v>54</v>
      </c>
      <c r="C26" s="6" t="s">
        <v>105</v>
      </c>
      <c r="D26" s="6" t="s">
        <v>11</v>
      </c>
      <c r="E26" s="6" t="s">
        <v>106</v>
      </c>
      <c r="F26" s="12" t="s">
        <v>72</v>
      </c>
    </row>
    <row r="27" customFormat="false" ht="26.85" hidden="false" customHeight="false" outlineLevel="0" collapsed="false">
      <c r="A27" s="6" t="n">
        <v>26</v>
      </c>
      <c r="B27" s="6" t="s">
        <v>54</v>
      </c>
      <c r="C27" s="6" t="s">
        <v>94</v>
      </c>
      <c r="D27" s="6" t="s">
        <v>11</v>
      </c>
      <c r="E27" s="6" t="s">
        <v>107</v>
      </c>
      <c r="F27" s="12" t="s">
        <v>75</v>
      </c>
    </row>
    <row r="28" customFormat="false" ht="26.85" hidden="false" customHeight="false" outlineLevel="0" collapsed="false">
      <c r="A28" s="6" t="n">
        <v>27</v>
      </c>
      <c r="B28" s="6" t="s">
        <v>54</v>
      </c>
      <c r="C28" s="6" t="s">
        <v>108</v>
      </c>
      <c r="D28" s="6" t="s">
        <v>11</v>
      </c>
      <c r="E28" s="6" t="s">
        <v>109</v>
      </c>
      <c r="F28" s="12" t="s">
        <v>79</v>
      </c>
    </row>
    <row r="29" customFormat="false" ht="26.85" hidden="false" customHeight="false" outlineLevel="0" collapsed="false">
      <c r="A29" s="6" t="n">
        <v>28</v>
      </c>
      <c r="B29" s="6" t="s">
        <v>54</v>
      </c>
      <c r="C29" s="6" t="s">
        <v>110</v>
      </c>
      <c r="D29" s="6" t="s">
        <v>13</v>
      </c>
      <c r="E29" s="6" t="s">
        <v>111</v>
      </c>
      <c r="F29" s="12" t="s">
        <v>57</v>
      </c>
    </row>
    <row r="30" customFormat="false" ht="26.85" hidden="false" customHeight="false" outlineLevel="0" collapsed="false">
      <c r="A30" s="6" t="n">
        <v>29</v>
      </c>
      <c r="B30" s="6" t="s">
        <v>54</v>
      </c>
      <c r="C30" s="6" t="s">
        <v>112</v>
      </c>
      <c r="D30" s="6" t="s">
        <v>13</v>
      </c>
      <c r="E30" s="6" t="s">
        <v>14</v>
      </c>
      <c r="F30" s="12" t="s">
        <v>57</v>
      </c>
    </row>
    <row r="31" customFormat="false" ht="26.85" hidden="false" customHeight="false" outlineLevel="0" collapsed="false">
      <c r="A31" s="6" t="n">
        <v>30</v>
      </c>
      <c r="B31" s="6" t="s">
        <v>54</v>
      </c>
      <c r="C31" s="6" t="s">
        <v>88</v>
      </c>
      <c r="D31" s="6" t="s">
        <v>13</v>
      </c>
      <c r="E31" s="6" t="s">
        <v>113</v>
      </c>
      <c r="F31" s="12" t="s">
        <v>62</v>
      </c>
    </row>
    <row r="32" customFormat="false" ht="26.85" hidden="false" customHeight="false" outlineLevel="0" collapsed="false">
      <c r="A32" s="6" t="n">
        <v>31</v>
      </c>
      <c r="B32" s="6" t="s">
        <v>54</v>
      </c>
      <c r="C32" s="6" t="s">
        <v>92</v>
      </c>
      <c r="D32" s="6" t="s">
        <v>13</v>
      </c>
      <c r="E32" s="6" t="s">
        <v>114</v>
      </c>
      <c r="F32" s="12" t="s">
        <v>72</v>
      </c>
    </row>
    <row r="33" customFormat="false" ht="26.85" hidden="false" customHeight="false" outlineLevel="0" collapsed="false">
      <c r="A33" s="6" t="n">
        <v>32</v>
      </c>
      <c r="B33" s="6" t="s">
        <v>54</v>
      </c>
      <c r="C33" s="6" t="s">
        <v>70</v>
      </c>
      <c r="D33" s="6" t="s">
        <v>13</v>
      </c>
      <c r="E33" s="6" t="s">
        <v>115</v>
      </c>
      <c r="F33" s="12" t="s">
        <v>72</v>
      </c>
    </row>
    <row r="34" customFormat="false" ht="26.85" hidden="false" customHeight="false" outlineLevel="0" collapsed="false">
      <c r="A34" s="6" t="n">
        <v>33</v>
      </c>
      <c r="B34" s="6" t="s">
        <v>54</v>
      </c>
      <c r="C34" s="6" t="s">
        <v>98</v>
      </c>
      <c r="D34" s="6" t="s">
        <v>13</v>
      </c>
      <c r="E34" s="6" t="s">
        <v>116</v>
      </c>
      <c r="F34" s="12" t="s">
        <v>79</v>
      </c>
    </row>
    <row r="35" customFormat="false" ht="26.85" hidden="false" customHeight="false" outlineLevel="0" collapsed="false">
      <c r="A35" s="6" t="n">
        <v>34</v>
      </c>
      <c r="B35" s="6" t="s">
        <v>54</v>
      </c>
      <c r="C35" s="6" t="s">
        <v>117</v>
      </c>
      <c r="D35" s="6" t="s">
        <v>15</v>
      </c>
      <c r="E35" s="6" t="s">
        <v>118</v>
      </c>
      <c r="F35" s="12" t="s">
        <v>119</v>
      </c>
    </row>
    <row r="36" customFormat="false" ht="26.85" hidden="false" customHeight="false" outlineLevel="0" collapsed="false">
      <c r="A36" s="6" t="n">
        <v>35</v>
      </c>
      <c r="B36" s="6" t="s">
        <v>54</v>
      </c>
      <c r="C36" s="6" t="s">
        <v>112</v>
      </c>
      <c r="D36" s="6" t="s">
        <v>15</v>
      </c>
      <c r="E36" s="6" t="s">
        <v>120</v>
      </c>
      <c r="F36" s="12" t="s">
        <v>57</v>
      </c>
    </row>
    <row r="37" customFormat="false" ht="26.85" hidden="false" customHeight="false" outlineLevel="0" collapsed="false">
      <c r="A37" s="6" t="n">
        <v>36</v>
      </c>
      <c r="B37" s="6" t="s">
        <v>54</v>
      </c>
      <c r="C37" s="6" t="s">
        <v>112</v>
      </c>
      <c r="D37" s="6" t="s">
        <v>15</v>
      </c>
      <c r="E37" s="6" t="s">
        <v>16</v>
      </c>
      <c r="F37" s="12" t="s">
        <v>57</v>
      </c>
    </row>
    <row r="38" customFormat="false" ht="26.85" hidden="false" customHeight="false" outlineLevel="0" collapsed="false">
      <c r="A38" s="6" t="n">
        <v>37</v>
      </c>
      <c r="B38" s="6" t="s">
        <v>54</v>
      </c>
      <c r="C38" s="6" t="s">
        <v>121</v>
      </c>
      <c r="D38" s="6" t="s">
        <v>15</v>
      </c>
      <c r="E38" s="6" t="s">
        <v>122</v>
      </c>
      <c r="F38" s="12" t="s">
        <v>62</v>
      </c>
    </row>
    <row r="39" customFormat="false" ht="26.85" hidden="false" customHeight="false" outlineLevel="0" collapsed="false">
      <c r="A39" s="6" t="n">
        <v>38</v>
      </c>
      <c r="B39" s="6" t="s">
        <v>54</v>
      </c>
      <c r="C39" s="6" t="s">
        <v>123</v>
      </c>
      <c r="D39" s="6" t="s">
        <v>15</v>
      </c>
      <c r="E39" s="6" t="s">
        <v>124</v>
      </c>
      <c r="F39" s="12" t="s">
        <v>65</v>
      </c>
    </row>
    <row r="40" customFormat="false" ht="26.85" hidden="false" customHeight="false" outlineLevel="0" collapsed="false">
      <c r="A40" s="6" t="n">
        <v>39</v>
      </c>
      <c r="B40" s="6" t="s">
        <v>54</v>
      </c>
      <c r="C40" s="6" t="s">
        <v>125</v>
      </c>
      <c r="D40" s="6" t="s">
        <v>15</v>
      </c>
      <c r="E40" s="6" t="s">
        <v>126</v>
      </c>
      <c r="F40" s="12" t="s">
        <v>79</v>
      </c>
    </row>
    <row r="41" customFormat="false" ht="39.55" hidden="false" customHeight="false" outlineLevel="0" collapsed="false">
      <c r="A41" s="6" t="n">
        <v>40</v>
      </c>
      <c r="B41" s="6" t="s">
        <v>54</v>
      </c>
      <c r="C41" s="6" t="s">
        <v>117</v>
      </c>
      <c r="D41" s="6" t="s">
        <v>17</v>
      </c>
      <c r="E41" s="6" t="s">
        <v>127</v>
      </c>
      <c r="F41" s="12" t="s">
        <v>119</v>
      </c>
    </row>
    <row r="42" customFormat="false" ht="26.85" hidden="false" customHeight="false" outlineLevel="0" collapsed="false">
      <c r="A42" s="6" t="n">
        <v>41</v>
      </c>
      <c r="B42" s="6" t="s">
        <v>54</v>
      </c>
      <c r="C42" s="6" t="s">
        <v>117</v>
      </c>
      <c r="D42" s="6" t="s">
        <v>17</v>
      </c>
      <c r="E42" s="6" t="s">
        <v>128</v>
      </c>
      <c r="F42" s="12" t="s">
        <v>119</v>
      </c>
    </row>
    <row r="43" customFormat="false" ht="26.85" hidden="false" customHeight="false" outlineLevel="0" collapsed="false">
      <c r="A43" s="6" t="n">
        <v>42</v>
      </c>
      <c r="B43" s="6" t="s">
        <v>54</v>
      </c>
      <c r="C43" s="6" t="s">
        <v>117</v>
      </c>
      <c r="D43" s="6" t="s">
        <v>17</v>
      </c>
      <c r="E43" s="6" t="s">
        <v>18</v>
      </c>
      <c r="F43" s="12" t="s">
        <v>119</v>
      </c>
    </row>
    <row r="44" customFormat="false" ht="26.85" hidden="false" customHeight="false" outlineLevel="0" collapsed="false">
      <c r="A44" s="6" t="n">
        <v>43</v>
      </c>
      <c r="B44" s="6" t="s">
        <v>54</v>
      </c>
      <c r="C44" s="6" t="s">
        <v>117</v>
      </c>
      <c r="D44" s="6" t="s">
        <v>17</v>
      </c>
      <c r="E44" s="6" t="s">
        <v>129</v>
      </c>
      <c r="F44" s="12" t="s">
        <v>119</v>
      </c>
    </row>
    <row r="45" customFormat="false" ht="26.85" hidden="false" customHeight="false" outlineLevel="0" collapsed="false">
      <c r="A45" s="6" t="n">
        <v>44</v>
      </c>
      <c r="B45" s="6" t="s">
        <v>54</v>
      </c>
      <c r="C45" s="6" t="s">
        <v>130</v>
      </c>
      <c r="D45" s="6" t="s">
        <v>19</v>
      </c>
      <c r="E45" s="6" t="s">
        <v>131</v>
      </c>
      <c r="F45" s="12" t="s">
        <v>119</v>
      </c>
    </row>
    <row r="46" customFormat="false" ht="26.85" hidden="false" customHeight="false" outlineLevel="0" collapsed="false">
      <c r="A46" s="6" t="n">
        <v>45</v>
      </c>
      <c r="B46" s="6" t="s">
        <v>54</v>
      </c>
      <c r="C46" s="6" t="s">
        <v>60</v>
      </c>
      <c r="D46" s="6" t="s">
        <v>19</v>
      </c>
      <c r="E46" s="6" t="s">
        <v>132</v>
      </c>
      <c r="F46" s="12" t="s">
        <v>62</v>
      </c>
    </row>
    <row r="47" customFormat="false" ht="26.85" hidden="false" customHeight="false" outlineLevel="0" collapsed="false">
      <c r="A47" s="6" t="n">
        <v>46</v>
      </c>
      <c r="B47" s="6" t="s">
        <v>54</v>
      </c>
      <c r="C47" s="6" t="s">
        <v>133</v>
      </c>
      <c r="D47" s="6" t="s">
        <v>19</v>
      </c>
      <c r="E47" s="6" t="s">
        <v>20</v>
      </c>
      <c r="F47" s="12" t="s">
        <v>65</v>
      </c>
    </row>
    <row r="48" customFormat="false" ht="26.85" hidden="false" customHeight="false" outlineLevel="0" collapsed="false">
      <c r="A48" s="6" t="n">
        <v>47</v>
      </c>
      <c r="B48" s="6" t="s">
        <v>54</v>
      </c>
      <c r="C48" s="6" t="s">
        <v>80</v>
      </c>
      <c r="D48" s="6" t="s">
        <v>21</v>
      </c>
      <c r="E48" s="6" t="s">
        <v>134</v>
      </c>
      <c r="F48" s="12" t="s">
        <v>135</v>
      </c>
    </row>
    <row r="49" customFormat="false" ht="26.85" hidden="false" customHeight="false" outlineLevel="0" collapsed="false">
      <c r="A49" s="6" t="n">
        <v>48</v>
      </c>
      <c r="B49" s="6" t="s">
        <v>54</v>
      </c>
      <c r="C49" s="6" t="s">
        <v>85</v>
      </c>
      <c r="D49" s="6" t="s">
        <v>21</v>
      </c>
      <c r="E49" s="6" t="s">
        <v>136</v>
      </c>
      <c r="F49" s="12" t="s">
        <v>87</v>
      </c>
    </row>
    <row r="50" customFormat="false" ht="26.85" hidden="false" customHeight="false" outlineLevel="0" collapsed="false">
      <c r="A50" s="6" t="n">
        <v>49</v>
      </c>
      <c r="B50" s="6" t="s">
        <v>54</v>
      </c>
      <c r="C50" s="6" t="s">
        <v>137</v>
      </c>
      <c r="D50" s="6" t="s">
        <v>21</v>
      </c>
      <c r="E50" s="6" t="s">
        <v>138</v>
      </c>
      <c r="F50" s="12" t="s">
        <v>72</v>
      </c>
    </row>
    <row r="51" customFormat="false" ht="26.85" hidden="false" customHeight="false" outlineLevel="0" collapsed="false">
      <c r="A51" s="6" t="n">
        <v>50</v>
      </c>
      <c r="B51" s="6" t="s">
        <v>54</v>
      </c>
      <c r="C51" s="6" t="s">
        <v>139</v>
      </c>
      <c r="D51" s="6" t="s">
        <v>23</v>
      </c>
      <c r="E51" s="6" t="s">
        <v>24</v>
      </c>
      <c r="F51" s="12" t="s">
        <v>65</v>
      </c>
    </row>
    <row r="52" customFormat="false" ht="26.85" hidden="false" customHeight="false" outlineLevel="0" collapsed="false">
      <c r="A52" s="6" t="n">
        <v>51</v>
      </c>
      <c r="B52" s="6" t="s">
        <v>54</v>
      </c>
      <c r="C52" s="6" t="s">
        <v>140</v>
      </c>
      <c r="D52" s="6" t="s">
        <v>23</v>
      </c>
      <c r="E52" s="6" t="s">
        <v>141</v>
      </c>
      <c r="F52" s="12" t="s">
        <v>72</v>
      </c>
    </row>
    <row r="53" customFormat="false" ht="26.85" hidden="false" customHeight="false" outlineLevel="0" collapsed="false">
      <c r="A53" s="6" t="n">
        <v>52</v>
      </c>
      <c r="B53" s="6" t="s">
        <v>54</v>
      </c>
      <c r="C53" s="6" t="s">
        <v>88</v>
      </c>
      <c r="D53" s="6" t="s">
        <v>25</v>
      </c>
      <c r="E53" s="6" t="s">
        <v>142</v>
      </c>
      <c r="F53" s="12" t="s">
        <v>62</v>
      </c>
    </row>
    <row r="54" customFormat="false" ht="26.85" hidden="false" customHeight="false" outlineLevel="0" collapsed="false">
      <c r="A54" s="6" t="n">
        <v>53</v>
      </c>
      <c r="B54" s="6" t="s">
        <v>54</v>
      </c>
      <c r="C54" s="6" t="s">
        <v>143</v>
      </c>
      <c r="D54" s="6" t="s">
        <v>25</v>
      </c>
      <c r="E54" s="6" t="s">
        <v>144</v>
      </c>
      <c r="F54" s="12" t="s">
        <v>79</v>
      </c>
    </row>
    <row r="55" customFormat="false" ht="26.85" hidden="false" customHeight="false" outlineLevel="0" collapsed="false">
      <c r="A55" s="6" t="n">
        <v>54</v>
      </c>
      <c r="B55" s="6" t="s">
        <v>54</v>
      </c>
      <c r="C55" s="6" t="s">
        <v>133</v>
      </c>
      <c r="D55" s="6" t="s">
        <v>27</v>
      </c>
      <c r="E55" s="6" t="s">
        <v>28</v>
      </c>
      <c r="F55" s="12" t="s">
        <v>65</v>
      </c>
    </row>
    <row r="56" customFormat="false" ht="26.85" hidden="false" customHeight="false" outlineLevel="0" collapsed="false">
      <c r="A56" s="6" t="n">
        <v>55</v>
      </c>
      <c r="B56" s="6" t="s">
        <v>54</v>
      </c>
      <c r="C56" s="6" t="s">
        <v>133</v>
      </c>
      <c r="D56" s="6" t="s">
        <v>27</v>
      </c>
      <c r="E56" s="6" t="s">
        <v>145</v>
      </c>
      <c r="F56" s="12" t="s">
        <v>65</v>
      </c>
    </row>
    <row r="57" customFormat="false" ht="26.85" hidden="false" customHeight="false" outlineLevel="0" collapsed="false">
      <c r="A57" s="6" t="n">
        <v>56</v>
      </c>
      <c r="B57" s="6" t="s">
        <v>54</v>
      </c>
      <c r="C57" s="6" t="s">
        <v>146</v>
      </c>
      <c r="D57" s="6" t="s">
        <v>29</v>
      </c>
      <c r="E57" s="6" t="s">
        <v>30</v>
      </c>
      <c r="F57" s="12" t="s">
        <v>72</v>
      </c>
    </row>
    <row r="58" customFormat="false" ht="26.85" hidden="false" customHeight="false" outlineLevel="0" collapsed="false">
      <c r="A58" s="6" t="n">
        <v>57</v>
      </c>
      <c r="B58" s="6" t="s">
        <v>54</v>
      </c>
      <c r="C58" s="6" t="s">
        <v>112</v>
      </c>
      <c r="D58" s="6" t="s">
        <v>31</v>
      </c>
      <c r="E58" s="6" t="s">
        <v>32</v>
      </c>
      <c r="F58" s="12" t="s">
        <v>57</v>
      </c>
    </row>
    <row r="59" customFormat="false" ht="26.85" hidden="false" customHeight="false" outlineLevel="0" collapsed="false">
      <c r="A59" s="6" t="n">
        <v>58</v>
      </c>
      <c r="B59" s="6" t="s">
        <v>54</v>
      </c>
      <c r="C59" s="6" t="s">
        <v>77</v>
      </c>
      <c r="D59" s="6" t="s">
        <v>33</v>
      </c>
      <c r="E59" s="6" t="s">
        <v>147</v>
      </c>
      <c r="F59" s="12" t="s">
        <v>75</v>
      </c>
    </row>
  </sheetData>
  <autoFilter ref="A1:F59"/>
  <hyperlinks>
    <hyperlink ref="F2" r:id="rId1" display="https://forum.lowyat.net/topic/843907/+6260"/>
    <hyperlink ref="F3" r:id="rId2" display="https://forum.lowyat.net/topic/843907/+6260"/>
    <hyperlink ref="F4" r:id="rId3" display="https://forum.lowyat.net/topic/843907/+6260"/>
    <hyperlink ref="F5" r:id="rId4" display="https://forum.lowyat.net/topic/843907/+6520"/>
    <hyperlink ref="F6" r:id="rId5" display="https://forum.lowyat.net/topic/843907/+6960"/>
    <hyperlink ref="F7" r:id="rId6" display="https://forum.lowyat.net/topic/843907/+6960"/>
    <hyperlink ref="F8" r:id="rId7" display="https://forum.lowyat.net/topic/843907/+6960"/>
    <hyperlink ref="F9" r:id="rId8" display="https://forum.lowyat.net/topic/843907/+7487"/>
    <hyperlink ref="F10" r:id="rId9" display="https://forum.lowyat.net/topic/843907/+7980"/>
    <hyperlink ref="F11" r:id="rId10" display="https://forum.lowyat.net/topic/843907/+7980"/>
    <hyperlink ref="F12" r:id="rId11" display="https://forum.lowyat.net/topic/843907/+8000"/>
    <hyperlink ref="F13" r:id="rId12" display="https://forum.lowyat.net/topic/843907/+440"/>
    <hyperlink ref="F14" r:id="rId13" display="https://forum.lowyat.net/topic/843907/+6260"/>
    <hyperlink ref="F15" r:id="rId14" display="https://forum.lowyat.net/topic/843907/+6487"/>
    <hyperlink ref="F16" r:id="rId15" display="https://forum.lowyat.net/topic/843907/+6520"/>
    <hyperlink ref="F17" r:id="rId16" display="https://forum.lowyat.net/topic/843907/+6960"/>
    <hyperlink ref="F18" r:id="rId17" display="https://forum.lowyat.net/topic/843907/+7487"/>
    <hyperlink ref="F19" r:id="rId18" display="https://forum.lowyat.net/topic/843907/+7980"/>
    <hyperlink ref="F20" r:id="rId19" display="https://forum.lowyat.net/topic/843907/+8000"/>
    <hyperlink ref="F21" r:id="rId20" display="https://forum.lowyat.net/topic/843907/+8000"/>
    <hyperlink ref="F22" r:id="rId21" display="https://forum.lowyat.net/topic/843907/+6960"/>
    <hyperlink ref="F23" r:id="rId22" display="https://forum.lowyat.net/topic/843907/+6960"/>
    <hyperlink ref="F24" r:id="rId23" display="https://forum.lowyat.net/topic/843907/+7487"/>
    <hyperlink ref="F25" r:id="rId24" display="https://forum.lowyat.net/topic/843907/+7487"/>
    <hyperlink ref="F26" r:id="rId25" display="https://forum.lowyat.net/topic/843907/+7487"/>
    <hyperlink ref="F27" r:id="rId26" display="https://forum.lowyat.net/topic/843907/+7980"/>
    <hyperlink ref="F28" r:id="rId27" display="https://forum.lowyat.net/topic/843907/+8000"/>
    <hyperlink ref="F29" r:id="rId28" display="https://forum.lowyat.net/topic/843907/+6260"/>
    <hyperlink ref="F30" r:id="rId29" display="https://forum.lowyat.net/topic/843907/+6260"/>
    <hyperlink ref="F31" r:id="rId30" display="https://forum.lowyat.net/topic/843907/+6520"/>
    <hyperlink ref="F32" r:id="rId31" display="https://forum.lowyat.net/topic/843907/+7487"/>
    <hyperlink ref="F33" r:id="rId32" display="https://forum.lowyat.net/topic/843907/+7487"/>
    <hyperlink ref="F34" r:id="rId33" display="https://forum.lowyat.net/topic/843907/+8000"/>
    <hyperlink ref="F35" r:id="rId34" display="https://forum.lowyat.net/topic/843907/+4920"/>
    <hyperlink ref="F36" r:id="rId35" display="https://forum.lowyat.net/topic/843907/+6260"/>
    <hyperlink ref="F37" r:id="rId36" display="https://forum.lowyat.net/topic/843907/+6260"/>
    <hyperlink ref="F38" r:id="rId37" display="https://forum.lowyat.net/topic/843907/+6520"/>
    <hyperlink ref="F39" r:id="rId38" display="https://forum.lowyat.net/topic/843907/+6960"/>
    <hyperlink ref="F40" r:id="rId39" display="https://forum.lowyat.net/topic/843907/+8000"/>
    <hyperlink ref="F41" r:id="rId40" display="https://forum.lowyat.net/topic/843907/+4920"/>
    <hyperlink ref="F42" r:id="rId41" display="https://forum.lowyat.net/topic/843907/+4920"/>
    <hyperlink ref="F43" r:id="rId42" display="https://forum.lowyat.net/topic/843907/+4920"/>
    <hyperlink ref="F44" r:id="rId43" display="https://forum.lowyat.net/topic/843907/+4920"/>
    <hyperlink ref="F45" r:id="rId44" display="https://forum.lowyat.net/topic/843907/+4920"/>
    <hyperlink ref="F46" r:id="rId45" display="https://forum.lowyat.net/topic/843907/+6520"/>
    <hyperlink ref="F47" r:id="rId46" display="https://forum.lowyat.net/topic/843907/+6960"/>
    <hyperlink ref="F48" r:id="rId47" display="https://forum.lowyat.net/topic/843907/+1840"/>
    <hyperlink ref="F49" r:id="rId48" display="https://forum.lowyat.net/topic/843907/+6487"/>
    <hyperlink ref="F50" r:id="rId49" display="https://forum.lowyat.net/topic/843907/+7487"/>
    <hyperlink ref="F51" r:id="rId50" display="https://forum.lowyat.net/topic/843907/+6960"/>
    <hyperlink ref="F52" r:id="rId51" display="https://forum.lowyat.net/topic/843907/+7487"/>
    <hyperlink ref="F53" r:id="rId52" display="https://forum.lowyat.net/topic/843907/+6520"/>
    <hyperlink ref="F54" r:id="rId53" display="https://forum.lowyat.net/topic/843907/+8000"/>
    <hyperlink ref="F55" r:id="rId54" display="https://forum.lowyat.net/topic/843907/+6960"/>
    <hyperlink ref="F56" r:id="rId55" display="https://forum.lowyat.net/topic/843907/+6960"/>
    <hyperlink ref="F57" r:id="rId56" display="https://forum.lowyat.net/topic/843907/+7487"/>
    <hyperlink ref="F58" r:id="rId57" display="https://forum.lowyat.net/topic/843907/+6260"/>
    <hyperlink ref="F59" r:id="rId58" display="https://forum.lowyat.net/topic/843907/+79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5" t="s">
        <v>148</v>
      </c>
      <c r="B1" s="5" t="s">
        <v>149</v>
      </c>
    </row>
    <row r="2" customFormat="false" ht="26.85" hidden="false" customHeight="false" outlineLevel="0" collapsed="false">
      <c r="A2" s="13" t="s">
        <v>150</v>
      </c>
      <c r="B2" s="13" t="s">
        <v>151</v>
      </c>
    </row>
    <row r="3" customFormat="false" ht="15" hidden="false" customHeight="false" outlineLevel="0" collapsed="false">
      <c r="A3" s="13" t="s">
        <v>152</v>
      </c>
      <c r="B3" s="13" t="s">
        <v>153</v>
      </c>
    </row>
    <row r="4" customFormat="false" ht="26.85" hidden="false" customHeight="false" outlineLevel="0" collapsed="false">
      <c r="A4" s="13" t="s">
        <v>154</v>
      </c>
      <c r="B4" s="13" t="s">
        <v>155</v>
      </c>
    </row>
    <row r="5" customFormat="false" ht="26.85" hidden="false" customHeight="false" outlineLevel="0" collapsed="false">
      <c r="A5" s="13" t="s">
        <v>51</v>
      </c>
      <c r="B5" s="13" t="s">
        <v>156</v>
      </c>
    </row>
    <row r="6" customFormat="false" ht="26.85" hidden="false" customHeight="false" outlineLevel="0" collapsed="false">
      <c r="A6" s="13" t="s">
        <v>157</v>
      </c>
      <c r="B6" s="1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2026-10-02T15:22:44Z</dcterms:created>
  <dc:creator>openpyxl</dc:creator>
  <dc:description/>
  <dc:language>en-US</dc:language>
  <cp:lastModifiedBy/>
  <dcterms:modified xsi:type="dcterms:W3CDTF">2026-10-02T15:22:44Z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